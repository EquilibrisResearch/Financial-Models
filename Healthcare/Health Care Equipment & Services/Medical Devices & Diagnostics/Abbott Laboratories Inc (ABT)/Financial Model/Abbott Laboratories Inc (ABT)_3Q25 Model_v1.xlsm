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91F87C58-B3EC-4214-AA3F-65A2820697CB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9" i="10" l="1"/>
  <c r="Q69" i="10"/>
  <c r="Z69" i="10" s="1"/>
  <c r="P69" i="10"/>
  <c r="Y69" i="10" s="1"/>
  <c r="O69" i="10"/>
  <c r="X69" i="10" s="1"/>
  <c r="N69" i="10"/>
  <c r="M69" i="10"/>
  <c r="V69" i="10" s="1"/>
  <c r="L69" i="10"/>
  <c r="U69" i="10" s="1"/>
  <c r="K69" i="10"/>
  <c r="T69" i="10" s="1"/>
  <c r="J69" i="10"/>
  <c r="S69" i="10" s="1"/>
  <c r="I69" i="10"/>
  <c r="H69" i="10"/>
  <c r="G69" i="10"/>
  <c r="E69" i="10"/>
  <c r="D69" i="10"/>
  <c r="C69" i="10"/>
  <c r="B69" i="10"/>
  <c r="Q68" i="10"/>
  <c r="Z68" i="10" s="1"/>
  <c r="P68" i="10"/>
  <c r="Y68" i="10" s="1"/>
  <c r="O68" i="10"/>
  <c r="X68" i="10" s="1"/>
  <c r="N68" i="10"/>
  <c r="W68" i="10" s="1"/>
  <c r="M68" i="10"/>
  <c r="V68" i="10" s="1"/>
  <c r="L68" i="10"/>
  <c r="U68" i="10" s="1"/>
  <c r="K68" i="10"/>
  <c r="T68" i="10" s="1"/>
  <c r="J68" i="10"/>
  <c r="S68" i="10" s="1"/>
  <c r="I68" i="10"/>
  <c r="H68" i="10"/>
  <c r="G68" i="10"/>
  <c r="E68" i="10"/>
  <c r="D68" i="10"/>
  <c r="C68" i="10"/>
  <c r="B68" i="10"/>
  <c r="U66" i="10"/>
  <c r="Q66" i="10"/>
  <c r="P66" i="10"/>
  <c r="O66" i="10"/>
  <c r="N66" i="10"/>
  <c r="M66" i="10"/>
  <c r="L66" i="10"/>
  <c r="K66" i="10"/>
  <c r="J66" i="10"/>
  <c r="I66" i="10"/>
  <c r="H66" i="10"/>
  <c r="G66" i="10"/>
  <c r="E66" i="10"/>
  <c r="D66" i="10"/>
  <c r="C66" i="10"/>
  <c r="Z65" i="10"/>
  <c r="Y65" i="10"/>
  <c r="X65" i="10"/>
  <c r="W65" i="10"/>
  <c r="V65" i="10"/>
  <c r="U65" i="10"/>
  <c r="T65" i="10"/>
  <c r="S65" i="10"/>
  <c r="Z64" i="10"/>
  <c r="Z66" i="10" s="1"/>
  <c r="Y64" i="10"/>
  <c r="Y66" i="10" s="1"/>
  <c r="X64" i="10"/>
  <c r="X66" i="10" s="1"/>
  <c r="W64" i="10"/>
  <c r="W66" i="10" s="1"/>
  <c r="V64" i="10"/>
  <c r="V66" i="10" s="1"/>
  <c r="U64" i="10"/>
  <c r="T64" i="10"/>
  <c r="T66" i="10" s="1"/>
  <c r="S64" i="10"/>
  <c r="S66" i="10" s="1"/>
  <c r="Z35" i="10" l="1"/>
  <c r="Y35" i="10"/>
  <c r="X35" i="10"/>
  <c r="W35" i="10"/>
  <c r="V35" i="10"/>
  <c r="U35" i="10"/>
  <c r="T35" i="10"/>
  <c r="S35" i="10"/>
  <c r="Z34" i="10"/>
  <c r="Y34" i="10"/>
  <c r="X34" i="10"/>
  <c r="W34" i="10"/>
  <c r="V34" i="10"/>
  <c r="U34" i="10"/>
  <c r="T34" i="10"/>
  <c r="S34" i="10"/>
  <c r="Z33" i="10"/>
  <c r="Y33" i="10"/>
  <c r="X33" i="10"/>
  <c r="W33" i="10"/>
  <c r="V33" i="10"/>
  <c r="U33" i="10"/>
  <c r="T33" i="10"/>
  <c r="S33" i="10"/>
  <c r="Z13" i="10"/>
  <c r="Y13" i="10"/>
  <c r="X13" i="10"/>
  <c r="W13" i="10"/>
  <c r="V13" i="10"/>
  <c r="U13" i="10"/>
  <c r="T13" i="10"/>
  <c r="S13" i="10"/>
  <c r="Z50" i="10"/>
  <c r="Y50" i="10"/>
  <c r="X50" i="10"/>
  <c r="W50" i="10"/>
  <c r="V50" i="10"/>
  <c r="U50" i="10"/>
  <c r="T50" i="10"/>
  <c r="S50" i="10"/>
  <c r="Z49" i="10"/>
  <c r="Y49" i="10"/>
  <c r="X49" i="10"/>
  <c r="W49" i="10"/>
  <c r="V49" i="10"/>
  <c r="U49" i="10"/>
  <c r="T49" i="10"/>
  <c r="S49" i="10"/>
  <c r="Z48" i="10"/>
  <c r="Y48" i="10"/>
  <c r="X48" i="10"/>
  <c r="W48" i="10"/>
  <c r="V48" i="10"/>
  <c r="U48" i="10"/>
  <c r="T48" i="10"/>
  <c r="S48" i="10"/>
  <c r="Z47" i="10"/>
  <c r="Y47" i="10"/>
  <c r="X47" i="10"/>
  <c r="W47" i="10"/>
  <c r="V47" i="10"/>
  <c r="U47" i="10"/>
  <c r="T47" i="10"/>
  <c r="S47" i="10"/>
  <c r="Z46" i="10"/>
  <c r="Y46" i="10"/>
  <c r="X46" i="10"/>
  <c r="W46" i="10"/>
  <c r="V46" i="10"/>
  <c r="U46" i="10"/>
  <c r="T46" i="10"/>
  <c r="S46" i="10"/>
  <c r="Z45" i="10"/>
  <c r="Y45" i="10"/>
  <c r="X45" i="10"/>
  <c r="W45" i="10"/>
  <c r="V45" i="10"/>
  <c r="U45" i="10"/>
  <c r="T45" i="10"/>
  <c r="S45" i="10"/>
  <c r="B59" i="10"/>
  <c r="B58" i="10"/>
  <c r="B57" i="10"/>
  <c r="B56" i="10"/>
  <c r="B55" i="10"/>
  <c r="B54" i="10"/>
  <c r="B53" i="10"/>
  <c r="Q51" i="10"/>
  <c r="P51" i="10"/>
  <c r="O51" i="10"/>
  <c r="N51" i="10"/>
  <c r="M51" i="10"/>
  <c r="L51" i="10"/>
  <c r="K51" i="10"/>
  <c r="J51" i="10"/>
  <c r="I51" i="10"/>
  <c r="H51" i="10"/>
  <c r="G51" i="10"/>
  <c r="E51" i="10"/>
  <c r="D51" i="10"/>
  <c r="C51" i="10"/>
  <c r="Z44" i="10"/>
  <c r="Y44" i="10"/>
  <c r="Y51" i="10" s="1"/>
  <c r="X44" i="10"/>
  <c r="W44" i="10"/>
  <c r="V44" i="10"/>
  <c r="U44" i="10"/>
  <c r="T44" i="10"/>
  <c r="S44" i="10"/>
  <c r="B40" i="10"/>
  <c r="B39" i="10"/>
  <c r="B41" i="10"/>
  <c r="B38" i="10"/>
  <c r="Q36" i="10"/>
  <c r="Q11" i="10" s="1"/>
  <c r="P36" i="10"/>
  <c r="P11" i="10" s="1"/>
  <c r="O36" i="10"/>
  <c r="O11" i="10" s="1"/>
  <c r="N36" i="10"/>
  <c r="M36" i="10"/>
  <c r="L36" i="10"/>
  <c r="K36" i="10"/>
  <c r="J36" i="10"/>
  <c r="I36" i="10"/>
  <c r="I11" i="10" s="1"/>
  <c r="H36" i="10"/>
  <c r="H11" i="10" s="1"/>
  <c r="G36" i="10"/>
  <c r="G11" i="10" s="1"/>
  <c r="E36" i="10"/>
  <c r="D36" i="10"/>
  <c r="C36" i="10"/>
  <c r="Z32" i="10"/>
  <c r="Y32" i="10"/>
  <c r="Y36" i="10" s="1"/>
  <c r="X32" i="10"/>
  <c r="W32" i="10"/>
  <c r="V32" i="10"/>
  <c r="U32" i="10"/>
  <c r="T32" i="10"/>
  <c r="S32" i="10"/>
  <c r="S36" i="10" s="1"/>
  <c r="B20" i="10"/>
  <c r="B19" i="10"/>
  <c r="B18" i="10"/>
  <c r="N74" i="8"/>
  <c r="N49" i="8"/>
  <c r="N48" i="8"/>
  <c r="N47" i="8"/>
  <c r="N46" i="8"/>
  <c r="W46" i="8" s="1"/>
  <c r="N45" i="8"/>
  <c r="N57" i="8"/>
  <c r="N56" i="8"/>
  <c r="N55" i="8"/>
  <c r="N54" i="8"/>
  <c r="N53" i="8"/>
  <c r="N66" i="8"/>
  <c r="N65" i="8"/>
  <c r="N64" i="8"/>
  <c r="N63" i="8"/>
  <c r="N62" i="8"/>
  <c r="N61" i="8"/>
  <c r="N71" i="8"/>
  <c r="N70" i="8"/>
  <c r="J74" i="8"/>
  <c r="J49" i="8"/>
  <c r="J48" i="8"/>
  <c r="J47" i="8"/>
  <c r="J46" i="8"/>
  <c r="J45" i="8"/>
  <c r="J57" i="8"/>
  <c r="J56" i="8"/>
  <c r="J55" i="8"/>
  <c r="S55" i="8" s="1"/>
  <c r="J54" i="8"/>
  <c r="J53" i="8"/>
  <c r="J66" i="8"/>
  <c r="J65" i="8"/>
  <c r="S65" i="8" s="1"/>
  <c r="J64" i="8"/>
  <c r="J63" i="8"/>
  <c r="J62" i="8"/>
  <c r="J61" i="8"/>
  <c r="J71" i="8"/>
  <c r="J70" i="8"/>
  <c r="N30" i="8"/>
  <c r="N26" i="8"/>
  <c r="Z26" i="8" s="1"/>
  <c r="N25" i="8"/>
  <c r="N24" i="8"/>
  <c r="Y24" i="8" s="1"/>
  <c r="N23" i="8"/>
  <c r="J30" i="8"/>
  <c r="J26" i="8"/>
  <c r="V26" i="8" s="1"/>
  <c r="J25" i="8"/>
  <c r="V25" i="8" s="1"/>
  <c r="J24" i="8"/>
  <c r="V24" i="8" s="1"/>
  <c r="J23" i="8"/>
  <c r="Y26" i="8"/>
  <c r="W26" i="8"/>
  <c r="U26" i="8"/>
  <c r="T26" i="8"/>
  <c r="S26" i="8"/>
  <c r="Z25" i="8"/>
  <c r="Y25" i="8"/>
  <c r="X25" i="8"/>
  <c r="W25" i="8"/>
  <c r="U25" i="8"/>
  <c r="T25" i="8"/>
  <c r="S25" i="8"/>
  <c r="W24" i="8"/>
  <c r="T24" i="8"/>
  <c r="S24" i="8"/>
  <c r="Q27" i="8"/>
  <c r="P27" i="8"/>
  <c r="O27" i="8"/>
  <c r="N27" i="8"/>
  <c r="M27" i="8"/>
  <c r="L27" i="8"/>
  <c r="K27" i="8"/>
  <c r="J27" i="8"/>
  <c r="I27" i="8"/>
  <c r="H27" i="8"/>
  <c r="G27" i="8"/>
  <c r="D27" i="8"/>
  <c r="C27" i="8"/>
  <c r="E27" i="8"/>
  <c r="N13" i="8"/>
  <c r="N19" i="8"/>
  <c r="N18" i="8"/>
  <c r="N17" i="8"/>
  <c r="J13" i="8"/>
  <c r="J19" i="8"/>
  <c r="J18" i="8"/>
  <c r="J17" i="8"/>
  <c r="N10" i="8"/>
  <c r="J10" i="8"/>
  <c r="Z65" i="8"/>
  <c r="Y65" i="8"/>
  <c r="X65" i="8"/>
  <c r="V65" i="8"/>
  <c r="U65" i="8"/>
  <c r="T65" i="8"/>
  <c r="W65" i="8"/>
  <c r="Z64" i="8"/>
  <c r="Y64" i="8"/>
  <c r="X64" i="8"/>
  <c r="V64" i="8"/>
  <c r="U64" i="8"/>
  <c r="T64" i="8"/>
  <c r="S64" i="8"/>
  <c r="W64" i="8"/>
  <c r="Z63" i="8"/>
  <c r="Y63" i="8"/>
  <c r="X63" i="8"/>
  <c r="V63" i="8"/>
  <c r="U63" i="8"/>
  <c r="T63" i="8"/>
  <c r="W63" i="8"/>
  <c r="S63" i="8"/>
  <c r="Z55" i="8"/>
  <c r="Y55" i="8"/>
  <c r="X55" i="8"/>
  <c r="V55" i="8"/>
  <c r="U55" i="8"/>
  <c r="T55" i="8"/>
  <c r="W55" i="8"/>
  <c r="Z46" i="8"/>
  <c r="Y46" i="8"/>
  <c r="X46" i="8"/>
  <c r="V46" i="8"/>
  <c r="U46" i="8"/>
  <c r="T46" i="8"/>
  <c r="S46" i="8"/>
  <c r="V36" i="10" l="1"/>
  <c r="X36" i="10"/>
  <c r="X51" i="10"/>
  <c r="Z51" i="10"/>
  <c r="I12" i="10"/>
  <c r="J12" i="10"/>
  <c r="Q12" i="10"/>
  <c r="U51" i="10"/>
  <c r="J11" i="10"/>
  <c r="S11" i="10" s="1"/>
  <c r="C12" i="10"/>
  <c r="L12" i="10"/>
  <c r="K12" i="10"/>
  <c r="K11" i="10"/>
  <c r="D12" i="10"/>
  <c r="M12" i="10"/>
  <c r="W51" i="10"/>
  <c r="C11" i="10"/>
  <c r="L11" i="10"/>
  <c r="E12" i="10"/>
  <c r="N12" i="10"/>
  <c r="D11" i="10"/>
  <c r="M11" i="10"/>
  <c r="G12" i="10"/>
  <c r="S12" i="10" s="1"/>
  <c r="O12" i="10"/>
  <c r="E11" i="10"/>
  <c r="N11" i="10"/>
  <c r="Z11" i="10" s="1"/>
  <c r="H12" i="10"/>
  <c r="P12" i="10"/>
  <c r="T36" i="10"/>
  <c r="S51" i="10"/>
  <c r="T51" i="10"/>
  <c r="V51" i="10"/>
  <c r="W36" i="10"/>
  <c r="Z36" i="10"/>
  <c r="U36" i="10"/>
  <c r="Z24" i="8"/>
  <c r="X24" i="8"/>
  <c r="X26" i="8"/>
  <c r="U24" i="8"/>
  <c r="AB63" i="8"/>
  <c r="AB65" i="8"/>
  <c r="AB64" i="8"/>
  <c r="AB55" i="8"/>
  <c r="AB46" i="8"/>
  <c r="W12" i="10" l="1"/>
  <c r="Z12" i="10"/>
  <c r="X12" i="10"/>
  <c r="U12" i="10"/>
  <c r="Y11" i="10"/>
  <c r="W11" i="10"/>
  <c r="T12" i="10"/>
  <c r="X11" i="10"/>
  <c r="T11" i="10"/>
  <c r="V11" i="10"/>
  <c r="U11" i="10"/>
  <c r="Y12" i="10"/>
  <c r="V12" i="10"/>
  <c r="W71" i="8" l="1"/>
  <c r="S71" i="8"/>
  <c r="W49" i="8"/>
  <c r="W48" i="8"/>
  <c r="W57" i="8"/>
  <c r="W56" i="8"/>
  <c r="W62" i="8"/>
  <c r="S57" i="8"/>
  <c r="S56" i="8"/>
  <c r="S62" i="8"/>
  <c r="S49" i="8"/>
  <c r="S48" i="8"/>
  <c r="Z56" i="8"/>
  <c r="Y56" i="8"/>
  <c r="X56" i="8"/>
  <c r="V56" i="8"/>
  <c r="U56" i="8"/>
  <c r="T56" i="8"/>
  <c r="Y13" i="8"/>
  <c r="T13" i="8"/>
  <c r="W9" i="10"/>
  <c r="V9" i="10"/>
  <c r="N77" i="8"/>
  <c r="J77" i="8"/>
  <c r="N76" i="8"/>
  <c r="J76" i="8"/>
  <c r="N75" i="8"/>
  <c r="J75" i="8"/>
  <c r="Z48" i="8"/>
  <c r="Y48" i="8"/>
  <c r="X48" i="8"/>
  <c r="V48" i="8"/>
  <c r="U48" i="8"/>
  <c r="T48" i="8"/>
  <c r="Y25" i="10"/>
  <c r="Y24" i="10"/>
  <c r="V25" i="10"/>
  <c r="U24" i="10"/>
  <c r="Z62" i="8"/>
  <c r="Y62" i="8"/>
  <c r="X62" i="8"/>
  <c r="V62" i="8"/>
  <c r="U62" i="8"/>
  <c r="T62" i="8"/>
  <c r="B29" i="10"/>
  <c r="B28" i="10"/>
  <c r="Q26" i="10"/>
  <c r="Q10" i="10" s="1"/>
  <c r="P26" i="10"/>
  <c r="P10" i="10" s="1"/>
  <c r="O26" i="10"/>
  <c r="O10" i="10" s="1"/>
  <c r="M26" i="10"/>
  <c r="M10" i="10" s="1"/>
  <c r="L26" i="10"/>
  <c r="L10" i="10" s="1"/>
  <c r="K26" i="10"/>
  <c r="K10" i="10" s="1"/>
  <c r="I26" i="10"/>
  <c r="I10" i="10" s="1"/>
  <c r="H26" i="10"/>
  <c r="H10" i="10" s="1"/>
  <c r="G26" i="10"/>
  <c r="G10" i="10" s="1"/>
  <c r="E26" i="10"/>
  <c r="E10" i="10" s="1"/>
  <c r="D26" i="10"/>
  <c r="D10" i="10" s="1"/>
  <c r="C26" i="10"/>
  <c r="C10" i="10" s="1"/>
  <c r="Z57" i="8"/>
  <c r="Y57" i="8"/>
  <c r="X57" i="8"/>
  <c r="V57" i="8"/>
  <c r="U57" i="8"/>
  <c r="T57" i="8"/>
  <c r="Z49" i="8"/>
  <c r="Y49" i="8"/>
  <c r="X49" i="8"/>
  <c r="V49" i="8"/>
  <c r="U49" i="8"/>
  <c r="T49" i="8"/>
  <c r="N37" i="8"/>
  <c r="J37" i="8"/>
  <c r="Z71" i="8"/>
  <c r="Y71" i="8"/>
  <c r="X71" i="8"/>
  <c r="V71" i="8"/>
  <c r="U71" i="8"/>
  <c r="T71" i="8"/>
  <c r="AB56" i="8" l="1"/>
  <c r="Y9" i="10"/>
  <c r="S9" i="10"/>
  <c r="AB48" i="8"/>
  <c r="V24" i="10"/>
  <c r="S25" i="10"/>
  <c r="T24" i="10"/>
  <c r="W24" i="10"/>
  <c r="T25" i="10"/>
  <c r="X24" i="10"/>
  <c r="U25" i="10"/>
  <c r="Y26" i="10"/>
  <c r="W25" i="10"/>
  <c r="S24" i="10"/>
  <c r="X25" i="10"/>
  <c r="U9" i="10"/>
  <c r="X9" i="10"/>
  <c r="T9" i="10"/>
  <c r="AB62" i="8"/>
  <c r="M14" i="10"/>
  <c r="Z24" i="10"/>
  <c r="Z25" i="10"/>
  <c r="J26" i="10"/>
  <c r="J10" i="10" s="1"/>
  <c r="V10" i="10" s="1"/>
  <c r="V14" i="10" s="1"/>
  <c r="N26" i="10"/>
  <c r="N10" i="10" s="1"/>
  <c r="Z10" i="10" s="1"/>
  <c r="AB49" i="8"/>
  <c r="AB57" i="8"/>
  <c r="U13" i="8"/>
  <c r="AB71" i="8"/>
  <c r="S13" i="8"/>
  <c r="Z13" i="8"/>
  <c r="V13" i="8"/>
  <c r="W13" i="8"/>
  <c r="X13" i="8"/>
  <c r="Z77" i="8"/>
  <c r="Y77" i="8"/>
  <c r="X77" i="8"/>
  <c r="V77" i="8"/>
  <c r="U77" i="8"/>
  <c r="T77" i="8"/>
  <c r="Z76" i="8"/>
  <c r="Y76" i="8"/>
  <c r="X76" i="8"/>
  <c r="V76" i="8"/>
  <c r="U76" i="8"/>
  <c r="T76" i="8"/>
  <c r="Z75" i="8"/>
  <c r="Y75" i="8"/>
  <c r="X75" i="8"/>
  <c r="V75" i="8"/>
  <c r="U75" i="8"/>
  <c r="T75" i="8"/>
  <c r="W77" i="8"/>
  <c r="W76" i="8"/>
  <c r="W75" i="8"/>
  <c r="S77" i="8"/>
  <c r="S76" i="8"/>
  <c r="S75" i="8"/>
  <c r="W66" i="8"/>
  <c r="S66" i="8"/>
  <c r="Z66" i="8"/>
  <c r="Y66" i="8"/>
  <c r="X66" i="8"/>
  <c r="V66" i="8"/>
  <c r="U66" i="8"/>
  <c r="T66" i="8"/>
  <c r="W47" i="8"/>
  <c r="S47" i="8"/>
  <c r="Z47" i="8"/>
  <c r="Y47" i="8"/>
  <c r="X47" i="8"/>
  <c r="V47" i="8"/>
  <c r="U47" i="8"/>
  <c r="T47" i="8"/>
  <c r="Z19" i="8"/>
  <c r="W18" i="8"/>
  <c r="S19" i="8"/>
  <c r="V18" i="8"/>
  <c r="Q4" i="10"/>
  <c r="P4" i="10"/>
  <c r="Y4" i="10" s="1"/>
  <c r="O4" i="10"/>
  <c r="X4" i="10" s="1"/>
  <c r="M4" i="10"/>
  <c r="V4" i="10" s="1"/>
  <c r="L4" i="10"/>
  <c r="U4" i="10" s="1"/>
  <c r="K4" i="10"/>
  <c r="T4" i="10" s="1"/>
  <c r="I4" i="10"/>
  <c r="H4" i="10"/>
  <c r="G4" i="10"/>
  <c r="Q3" i="10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S3" i="10" s="1"/>
  <c r="I3" i="10"/>
  <c r="H3" i="10"/>
  <c r="G3" i="10"/>
  <c r="E4" i="10"/>
  <c r="D4" i="10"/>
  <c r="C4" i="10"/>
  <c r="E3" i="10"/>
  <c r="D3" i="10"/>
  <c r="C3" i="10"/>
  <c r="B2" i="10"/>
  <c r="B21" i="10"/>
  <c r="B17" i="10"/>
  <c r="Q14" i="10"/>
  <c r="P14" i="10"/>
  <c r="O14" i="10"/>
  <c r="L14" i="10"/>
  <c r="K14" i="10"/>
  <c r="I14" i="10"/>
  <c r="H14" i="10"/>
  <c r="G14" i="10"/>
  <c r="E14" i="10"/>
  <c r="D14" i="10"/>
  <c r="Y10" i="10" l="1"/>
  <c r="S10" i="10"/>
  <c r="X10" i="10"/>
  <c r="W10" i="10"/>
  <c r="W14" i="10" s="1"/>
  <c r="T10" i="10"/>
  <c r="X14" i="10"/>
  <c r="U10" i="10"/>
  <c r="U14" i="10" s="1"/>
  <c r="O59" i="10"/>
  <c r="X59" i="10" s="1"/>
  <c r="O57" i="10"/>
  <c r="X57" i="10" s="1"/>
  <c r="O55" i="10"/>
  <c r="X55" i="10" s="1"/>
  <c r="O58" i="10"/>
  <c r="X58" i="10" s="1"/>
  <c r="O56" i="10"/>
  <c r="X56" i="10" s="1"/>
  <c r="O54" i="10"/>
  <c r="X54" i="10" s="1"/>
  <c r="M58" i="10"/>
  <c r="V58" i="10" s="1"/>
  <c r="M59" i="10"/>
  <c r="V59" i="10" s="1"/>
  <c r="M56" i="10"/>
  <c r="V56" i="10" s="1"/>
  <c r="M57" i="10"/>
  <c r="V57" i="10" s="1"/>
  <c r="M55" i="10"/>
  <c r="V55" i="10" s="1"/>
  <c r="M54" i="10"/>
  <c r="V54" i="10" s="1"/>
  <c r="G59" i="10"/>
  <c r="G57" i="10"/>
  <c r="G55" i="10"/>
  <c r="G58" i="10"/>
  <c r="G56" i="10"/>
  <c r="G54" i="10"/>
  <c r="H57" i="10"/>
  <c r="H55" i="10"/>
  <c r="H58" i="10"/>
  <c r="H56" i="10"/>
  <c r="H54" i="10"/>
  <c r="H59" i="10"/>
  <c r="P57" i="10"/>
  <c r="Y57" i="10" s="1"/>
  <c r="P55" i="10"/>
  <c r="Y55" i="10" s="1"/>
  <c r="P59" i="10"/>
  <c r="Y59" i="10" s="1"/>
  <c r="P58" i="10"/>
  <c r="Y58" i="10" s="1"/>
  <c r="P56" i="10"/>
  <c r="Y56" i="10" s="1"/>
  <c r="P54" i="10"/>
  <c r="Y54" i="10" s="1"/>
  <c r="I58" i="10"/>
  <c r="I56" i="10"/>
  <c r="I54" i="10"/>
  <c r="I59" i="10"/>
  <c r="I57" i="10"/>
  <c r="I55" i="10"/>
  <c r="L56" i="10"/>
  <c r="U56" i="10" s="1"/>
  <c r="L54" i="10"/>
  <c r="U54" i="10" s="1"/>
  <c r="L58" i="10"/>
  <c r="U58" i="10" s="1"/>
  <c r="L59" i="10"/>
  <c r="U59" i="10" s="1"/>
  <c r="L57" i="10"/>
  <c r="U57" i="10" s="1"/>
  <c r="L55" i="10"/>
  <c r="U55" i="10" s="1"/>
  <c r="Q57" i="10"/>
  <c r="Z57" i="10" s="1"/>
  <c r="Q55" i="10"/>
  <c r="Z55" i="10" s="1"/>
  <c r="Q58" i="10"/>
  <c r="Z58" i="10" s="1"/>
  <c r="Q56" i="10"/>
  <c r="Z56" i="10" s="1"/>
  <c r="Q54" i="10"/>
  <c r="Z54" i="10" s="1"/>
  <c r="Q59" i="10"/>
  <c r="Z59" i="10" s="1"/>
  <c r="K58" i="10"/>
  <c r="T58" i="10" s="1"/>
  <c r="K56" i="10"/>
  <c r="T56" i="10" s="1"/>
  <c r="K54" i="10"/>
  <c r="T54" i="10" s="1"/>
  <c r="K59" i="10"/>
  <c r="T59" i="10" s="1"/>
  <c r="K57" i="10"/>
  <c r="T57" i="10" s="1"/>
  <c r="K55" i="10"/>
  <c r="T55" i="10" s="1"/>
  <c r="D56" i="10"/>
  <c r="D58" i="10"/>
  <c r="D57" i="10"/>
  <c r="D54" i="10"/>
  <c r="D59" i="10"/>
  <c r="D55" i="10"/>
  <c r="E57" i="10"/>
  <c r="E58" i="10"/>
  <c r="E59" i="10"/>
  <c r="E56" i="10"/>
  <c r="E54" i="10"/>
  <c r="E55" i="10"/>
  <c r="O53" i="10"/>
  <c r="X53" i="10" s="1"/>
  <c r="O39" i="10"/>
  <c r="X39" i="10" s="1"/>
  <c r="O40" i="10"/>
  <c r="X40" i="10" s="1"/>
  <c r="D40" i="10"/>
  <c r="D53" i="10"/>
  <c r="D39" i="10"/>
  <c r="P39" i="10"/>
  <c r="Y39" i="10" s="1"/>
  <c r="P40" i="10"/>
  <c r="Y40" i="10" s="1"/>
  <c r="P53" i="10"/>
  <c r="Y53" i="10" s="1"/>
  <c r="M39" i="10"/>
  <c r="V39" i="10" s="1"/>
  <c r="M53" i="10"/>
  <c r="V53" i="10" s="1"/>
  <c r="M40" i="10"/>
  <c r="V40" i="10" s="1"/>
  <c r="L40" i="10"/>
  <c r="U40" i="10" s="1"/>
  <c r="L53" i="10"/>
  <c r="U53" i="10" s="1"/>
  <c r="L39" i="10"/>
  <c r="U39" i="10" s="1"/>
  <c r="G53" i="10"/>
  <c r="G39" i="10"/>
  <c r="G40" i="10"/>
  <c r="E53" i="10"/>
  <c r="E40" i="10"/>
  <c r="E39" i="10"/>
  <c r="H53" i="10"/>
  <c r="H39" i="10"/>
  <c r="H40" i="10"/>
  <c r="Q39" i="10"/>
  <c r="Z39" i="10" s="1"/>
  <c r="Q40" i="10"/>
  <c r="Z40" i="10" s="1"/>
  <c r="Q53" i="10"/>
  <c r="Z53" i="10" s="1"/>
  <c r="I53" i="10"/>
  <c r="I39" i="10"/>
  <c r="I40" i="10"/>
  <c r="K39" i="10"/>
  <c r="T39" i="10" s="1"/>
  <c r="K40" i="10"/>
  <c r="T40" i="10" s="1"/>
  <c r="K53" i="10"/>
  <c r="T53" i="10" s="1"/>
  <c r="L38" i="10"/>
  <c r="U38" i="10" s="1"/>
  <c r="L41" i="10"/>
  <c r="U41" i="10" s="1"/>
  <c r="O41" i="10"/>
  <c r="X41" i="10" s="1"/>
  <c r="O38" i="10"/>
  <c r="X38" i="10" s="1"/>
  <c r="P38" i="10"/>
  <c r="Y38" i="10" s="1"/>
  <c r="P41" i="10"/>
  <c r="Y41" i="10" s="1"/>
  <c r="M38" i="10"/>
  <c r="V38" i="10" s="1"/>
  <c r="M41" i="10"/>
  <c r="V41" i="10" s="1"/>
  <c r="E38" i="10"/>
  <c r="E41" i="10"/>
  <c r="Q41" i="10"/>
  <c r="Z41" i="10" s="1"/>
  <c r="Q38" i="10"/>
  <c r="Z38" i="10" s="1"/>
  <c r="G41" i="10"/>
  <c r="G38" i="10"/>
  <c r="H38" i="10"/>
  <c r="H41" i="10"/>
  <c r="I41" i="10"/>
  <c r="I38" i="10"/>
  <c r="D38" i="10"/>
  <c r="D41" i="10"/>
  <c r="K38" i="10"/>
  <c r="T38" i="10" s="1"/>
  <c r="K41" i="10"/>
  <c r="T41" i="10" s="1"/>
  <c r="I19" i="10"/>
  <c r="I20" i="10"/>
  <c r="I18" i="10"/>
  <c r="L20" i="10"/>
  <c r="U20" i="10" s="1"/>
  <c r="L18" i="10"/>
  <c r="U18" i="10" s="1"/>
  <c r="L19" i="10"/>
  <c r="U19" i="10" s="1"/>
  <c r="O18" i="10"/>
  <c r="X18" i="10" s="1"/>
  <c r="O19" i="10"/>
  <c r="X19" i="10" s="1"/>
  <c r="O20" i="10"/>
  <c r="X20" i="10" s="1"/>
  <c r="K19" i="10"/>
  <c r="T19" i="10" s="1"/>
  <c r="K20" i="10"/>
  <c r="T20" i="10" s="1"/>
  <c r="K18" i="10"/>
  <c r="T18" i="10" s="1"/>
  <c r="D18" i="10"/>
  <c r="D19" i="10"/>
  <c r="D20" i="10"/>
  <c r="M18" i="10"/>
  <c r="V18" i="10" s="1"/>
  <c r="M19" i="10"/>
  <c r="V19" i="10" s="1"/>
  <c r="M20" i="10"/>
  <c r="V20" i="10" s="1"/>
  <c r="H18" i="10"/>
  <c r="H19" i="10"/>
  <c r="H20" i="10"/>
  <c r="P18" i="10"/>
  <c r="Y18" i="10" s="1"/>
  <c r="P19" i="10"/>
  <c r="Y19" i="10" s="1"/>
  <c r="P20" i="10"/>
  <c r="Y20" i="10" s="1"/>
  <c r="E18" i="10"/>
  <c r="E19" i="10"/>
  <c r="E20" i="10"/>
  <c r="Q19" i="10"/>
  <c r="Z19" i="10" s="1"/>
  <c r="Q20" i="10"/>
  <c r="Z20" i="10" s="1"/>
  <c r="Q18" i="10"/>
  <c r="Z18" i="10" s="1"/>
  <c r="G18" i="10"/>
  <c r="G19" i="10"/>
  <c r="G20" i="10"/>
  <c r="Y14" i="10"/>
  <c r="Y15" i="10" s="1"/>
  <c r="S14" i="10"/>
  <c r="T26" i="10"/>
  <c r="V26" i="10"/>
  <c r="W26" i="10"/>
  <c r="S26" i="10"/>
  <c r="U26" i="10"/>
  <c r="X26" i="10"/>
  <c r="T14" i="10"/>
  <c r="J14" i="10"/>
  <c r="Z26" i="10"/>
  <c r="L29" i="10"/>
  <c r="U29" i="10" s="1"/>
  <c r="L28" i="10"/>
  <c r="U28" i="10" s="1"/>
  <c r="M29" i="10"/>
  <c r="V29" i="10" s="1"/>
  <c r="M28" i="10"/>
  <c r="V28" i="10" s="1"/>
  <c r="G28" i="10"/>
  <c r="G29" i="10"/>
  <c r="Z4" i="10"/>
  <c r="O29" i="10"/>
  <c r="X29" i="10" s="1"/>
  <c r="O28" i="10"/>
  <c r="X28" i="10" s="1"/>
  <c r="E28" i="10"/>
  <c r="E29" i="10"/>
  <c r="Q28" i="10"/>
  <c r="Z28" i="10" s="1"/>
  <c r="Q29" i="10"/>
  <c r="Z29" i="10" s="1"/>
  <c r="Z3" i="10"/>
  <c r="D29" i="10"/>
  <c r="D28" i="10"/>
  <c r="P28" i="10"/>
  <c r="Y28" i="10" s="1"/>
  <c r="P29" i="10"/>
  <c r="Y29" i="10" s="1"/>
  <c r="H28" i="10"/>
  <c r="H29" i="10"/>
  <c r="I28" i="10"/>
  <c r="I29" i="10"/>
  <c r="K29" i="10"/>
  <c r="T29" i="10" s="1"/>
  <c r="K28" i="10"/>
  <c r="T28" i="10" s="1"/>
  <c r="AB13" i="8"/>
  <c r="Q21" i="10"/>
  <c r="Z21" i="10" s="1"/>
  <c r="I21" i="10"/>
  <c r="G21" i="10"/>
  <c r="L21" i="10"/>
  <c r="U21" i="10" s="1"/>
  <c r="D21" i="10"/>
  <c r="AB66" i="8"/>
  <c r="AB47" i="8"/>
  <c r="T19" i="8"/>
  <c r="V19" i="8"/>
  <c r="AB19" i="8" s="1"/>
  <c r="X18" i="8"/>
  <c r="Z18" i="8"/>
  <c r="AB18" i="8" s="1"/>
  <c r="Y18" i="8"/>
  <c r="U19" i="8"/>
  <c r="S18" i="8"/>
  <c r="W19" i="8"/>
  <c r="T18" i="8"/>
  <c r="X19" i="8"/>
  <c r="U18" i="8"/>
  <c r="Y19" i="8"/>
  <c r="K21" i="10"/>
  <c r="T21" i="10" s="1"/>
  <c r="D17" i="10"/>
  <c r="O21" i="10"/>
  <c r="X21" i="10" s="1"/>
  <c r="K17" i="10"/>
  <c r="T17" i="10" s="1"/>
  <c r="G17" i="10"/>
  <c r="L17" i="10"/>
  <c r="U17" i="10" s="1"/>
  <c r="O17" i="10"/>
  <c r="X17" i="10" s="1"/>
  <c r="I17" i="10"/>
  <c r="Q17" i="10"/>
  <c r="Z17" i="10" s="1"/>
  <c r="E21" i="10"/>
  <c r="M21" i="10"/>
  <c r="V21" i="10" s="1"/>
  <c r="H21" i="10"/>
  <c r="P21" i="10"/>
  <c r="Y21" i="10" s="1"/>
  <c r="E17" i="10"/>
  <c r="M17" i="10"/>
  <c r="V17" i="10" s="1"/>
  <c r="N14" i="10"/>
  <c r="H17" i="10"/>
  <c r="P17" i="10"/>
  <c r="Y17" i="10" s="1"/>
  <c r="J57" i="10" l="1"/>
  <c r="S57" i="10" s="1"/>
  <c r="J58" i="10"/>
  <c r="S58" i="10" s="1"/>
  <c r="J56" i="10"/>
  <c r="S56" i="10" s="1"/>
  <c r="J54" i="10"/>
  <c r="S54" i="10" s="1"/>
  <c r="J55" i="10"/>
  <c r="S55" i="10" s="1"/>
  <c r="J59" i="10"/>
  <c r="S59" i="10" s="1"/>
  <c r="N59" i="10"/>
  <c r="W59" i="10" s="1"/>
  <c r="N57" i="10"/>
  <c r="W57" i="10" s="1"/>
  <c r="N55" i="10"/>
  <c r="W55" i="10" s="1"/>
  <c r="N56" i="10"/>
  <c r="W56" i="10" s="1"/>
  <c r="N58" i="10"/>
  <c r="W58" i="10" s="1"/>
  <c r="N54" i="10"/>
  <c r="W54" i="10" s="1"/>
  <c r="N53" i="10"/>
  <c r="W53" i="10" s="1"/>
  <c r="N40" i="10"/>
  <c r="W40" i="10" s="1"/>
  <c r="N39" i="10"/>
  <c r="W39" i="10" s="1"/>
  <c r="J39" i="10"/>
  <c r="S39" i="10" s="1"/>
  <c r="J40" i="10"/>
  <c r="S40" i="10" s="1"/>
  <c r="J53" i="10"/>
  <c r="S53" i="10" s="1"/>
  <c r="N38" i="10"/>
  <c r="W38" i="10" s="1"/>
  <c r="N41" i="10"/>
  <c r="W41" i="10" s="1"/>
  <c r="J38" i="10"/>
  <c r="S38" i="10" s="1"/>
  <c r="J41" i="10"/>
  <c r="S41" i="10" s="1"/>
  <c r="J20" i="10"/>
  <c r="S20" i="10" s="1"/>
  <c r="J18" i="10"/>
  <c r="S18" i="10" s="1"/>
  <c r="J19" i="10"/>
  <c r="S19" i="10" s="1"/>
  <c r="N19" i="10"/>
  <c r="W19" i="10" s="1"/>
  <c r="N18" i="10"/>
  <c r="W18" i="10" s="1"/>
  <c r="N20" i="10"/>
  <c r="W20" i="10" s="1"/>
  <c r="Z9" i="10"/>
  <c r="N28" i="10"/>
  <c r="W28" i="10" s="1"/>
  <c r="N29" i="10"/>
  <c r="W29" i="10" s="1"/>
  <c r="J28" i="10"/>
  <c r="S28" i="10" s="1"/>
  <c r="J29" i="10"/>
  <c r="S29" i="10" s="1"/>
  <c r="J21" i="10"/>
  <c r="S21" i="10" s="1"/>
  <c r="J17" i="10"/>
  <c r="S17" i="10" s="1"/>
  <c r="N21" i="10"/>
  <c r="W21" i="10" s="1"/>
  <c r="N17" i="10"/>
  <c r="W17" i="10" s="1"/>
  <c r="Z14" i="10" l="1"/>
  <c r="W23" i="8"/>
  <c r="W27" i="8" s="1"/>
  <c r="V23" i="8"/>
  <c r="V27" i="8" s="1"/>
  <c r="K14" i="9"/>
  <c r="O14" i="9"/>
  <c r="Z17" i="8"/>
  <c r="V17" i="8"/>
  <c r="Y37" i="8"/>
  <c r="X37" i="8"/>
  <c r="W37" i="8"/>
  <c r="V37" i="8"/>
  <c r="U37" i="8"/>
  <c r="T37" i="8"/>
  <c r="S37" i="8"/>
  <c r="Y34" i="8"/>
  <c r="X34" i="8"/>
  <c r="V34" i="8"/>
  <c r="U34" i="8"/>
  <c r="T34" i="8"/>
  <c r="K55" i="9"/>
  <c r="T55" i="9" s="1"/>
  <c r="W45" i="8"/>
  <c r="K63" i="9"/>
  <c r="T63" i="9" s="1"/>
  <c r="K66" i="9"/>
  <c r="T66" i="9" s="1"/>
  <c r="S54" i="8"/>
  <c r="K65" i="9"/>
  <c r="T65" i="9" s="1"/>
  <c r="K67" i="9"/>
  <c r="T67" i="9" s="1"/>
  <c r="W54" i="8"/>
  <c r="W53" i="8"/>
  <c r="W61" i="8"/>
  <c r="W70" i="8"/>
  <c r="K73" i="9"/>
  <c r="T73" i="9" s="1"/>
  <c r="Q50" i="8"/>
  <c r="P50" i="8"/>
  <c r="O50" i="8"/>
  <c r="M50" i="8"/>
  <c r="L50" i="8"/>
  <c r="K50" i="8"/>
  <c r="I50" i="8"/>
  <c r="H50" i="8"/>
  <c r="G50" i="8"/>
  <c r="E50" i="8"/>
  <c r="D50" i="8"/>
  <c r="C50" i="8"/>
  <c r="N110" i="8"/>
  <c r="J110" i="8"/>
  <c r="N109" i="8"/>
  <c r="J109" i="8"/>
  <c r="N108" i="8"/>
  <c r="J108" i="8"/>
  <c r="K47" i="9" s="1"/>
  <c r="N104" i="8"/>
  <c r="O45" i="9" s="1"/>
  <c r="J104" i="8"/>
  <c r="T104" i="8" s="1"/>
  <c r="N103" i="8"/>
  <c r="J103" i="8"/>
  <c r="K46" i="9" s="1"/>
  <c r="N102" i="8"/>
  <c r="J102" i="8"/>
  <c r="N101" i="8"/>
  <c r="J10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Y74" i="8"/>
  <c r="X74" i="8"/>
  <c r="V74" i="8"/>
  <c r="U74" i="8"/>
  <c r="T74" i="8"/>
  <c r="Y70" i="8"/>
  <c r="X70" i="8"/>
  <c r="V70" i="8"/>
  <c r="U70" i="8"/>
  <c r="T70" i="8"/>
  <c r="Y61" i="8"/>
  <c r="X61" i="8"/>
  <c r="Y54" i="8"/>
  <c r="X54" i="8"/>
  <c r="V54" i="8"/>
  <c r="U54" i="8"/>
  <c r="T54" i="8"/>
  <c r="Y53" i="8"/>
  <c r="X53" i="8"/>
  <c r="V53" i="8"/>
  <c r="U53" i="8"/>
  <c r="T53" i="8"/>
  <c r="Y45" i="8"/>
  <c r="X45" i="8"/>
  <c r="V45" i="8"/>
  <c r="U45" i="8"/>
  <c r="T45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N96" i="8"/>
  <c r="J96" i="8"/>
  <c r="U96" i="8" s="1"/>
  <c r="J125" i="8"/>
  <c r="J94" i="8"/>
  <c r="K32" i="9" s="1"/>
  <c r="J27" i="9"/>
  <c r="J38" i="9"/>
  <c r="R45" i="9"/>
  <c r="R46" i="9"/>
  <c r="R38" i="9"/>
  <c r="R32" i="9"/>
  <c r="R27" i="9"/>
  <c r="M46" i="9"/>
  <c r="N38" i="9"/>
  <c r="N95" i="8"/>
  <c r="N32" i="9"/>
  <c r="N27" i="9"/>
  <c r="P47" i="9"/>
  <c r="V61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J126" i="8"/>
  <c r="K39" i="9" s="1"/>
  <c r="N126" i="8"/>
  <c r="O39" i="9" s="1"/>
  <c r="N125" i="8"/>
  <c r="N118" i="8"/>
  <c r="N117" i="8"/>
  <c r="W117" i="8" s="1"/>
  <c r="J118" i="8"/>
  <c r="J117" i="8"/>
  <c r="V117" i="8" s="1"/>
  <c r="Z74" i="8"/>
  <c r="Z70" i="8"/>
  <c r="Z61" i="8"/>
  <c r="Z54" i="8"/>
  <c r="Z53" i="8"/>
  <c r="Z45" i="8"/>
  <c r="D45" i="9"/>
  <c r="K64" i="9"/>
  <c r="T64" i="9" s="1"/>
  <c r="S70" i="8"/>
  <c r="W74" i="8"/>
  <c r="S74" i="8"/>
  <c r="Y30" i="8"/>
  <c r="S30" i="8"/>
  <c r="J34" i="8"/>
  <c r="S34" i="8" s="1"/>
  <c r="O23" i="9"/>
  <c r="O34" i="9" s="1"/>
  <c r="K23" i="9"/>
  <c r="K34" i="9" s="1"/>
  <c r="O21" i="9"/>
  <c r="K21" i="9"/>
  <c r="O72" i="9"/>
  <c r="X72" i="9" s="1"/>
  <c r="K72" i="9"/>
  <c r="T72" i="9" s="1"/>
  <c r="Z34" i="8"/>
  <c r="Z37" i="8"/>
  <c r="N34" i="8"/>
  <c r="W34" i="8" s="1"/>
  <c r="Z23" i="8" l="1"/>
  <c r="Z27" i="8" s="1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X23" i="8"/>
  <c r="X27" i="8" s="1"/>
  <c r="Y23" i="8"/>
  <c r="Y27" i="8" s="1"/>
  <c r="S23" i="8"/>
  <c r="S27" i="8" s="1"/>
  <c r="T23" i="8"/>
  <c r="T27" i="8" s="1"/>
  <c r="U23" i="8"/>
  <c r="U27" i="8" s="1"/>
  <c r="V50" i="8"/>
  <c r="X50" i="8"/>
  <c r="Y50" i="8"/>
  <c r="Z50" i="8"/>
  <c r="N50" i="8"/>
  <c r="J50" i="8"/>
  <c r="K56" i="9"/>
  <c r="T56" i="9" s="1"/>
  <c r="W50" i="8"/>
  <c r="N93" i="8"/>
  <c r="Z93" i="8" s="1"/>
  <c r="W14" i="9"/>
  <c r="V21" i="9"/>
  <c r="U14" i="9"/>
  <c r="X34" i="9"/>
  <c r="V14" i="9"/>
  <c r="S96" i="8"/>
  <c r="V96" i="8"/>
  <c r="Y96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S108" i="8"/>
  <c r="T103" i="8"/>
  <c r="U104" i="8"/>
  <c r="Z23" i="9"/>
  <c r="W34" i="9"/>
  <c r="S61" i="8"/>
  <c r="T96" i="8"/>
  <c r="U103" i="8"/>
  <c r="V104" i="8"/>
  <c r="T61" i="8"/>
  <c r="S94" i="8"/>
  <c r="W104" i="8"/>
  <c r="T23" i="9"/>
  <c r="S45" i="8"/>
  <c r="U61" i="8"/>
  <c r="T94" i="8"/>
  <c r="X104" i="8"/>
  <c r="U23" i="9"/>
  <c r="U94" i="8"/>
  <c r="W96" i="8"/>
  <c r="Y104" i="8"/>
  <c r="T108" i="8"/>
  <c r="V23" i="9"/>
  <c r="V94" i="8"/>
  <c r="W95" i="8"/>
  <c r="X96" i="8"/>
  <c r="U108" i="8"/>
  <c r="U21" i="9"/>
  <c r="W23" i="9"/>
  <c r="S53" i="8"/>
  <c r="X95" i="8"/>
  <c r="S104" i="8"/>
  <c r="V108" i="8"/>
  <c r="X23" i="9"/>
  <c r="Y95" i="8"/>
  <c r="S103" i="8"/>
  <c r="Y23" i="9"/>
  <c r="N49" i="9"/>
  <c r="T30" i="8"/>
  <c r="U30" i="8"/>
  <c r="V30" i="8"/>
  <c r="W30" i="8"/>
  <c r="X30" i="8"/>
  <c r="J49" i="9"/>
  <c r="S17" i="8"/>
  <c r="AB77" i="8"/>
  <c r="T17" i="8"/>
  <c r="AB54" i="8"/>
  <c r="AB70" i="8"/>
  <c r="U17" i="8"/>
  <c r="W17" i="8"/>
  <c r="X17" i="8"/>
  <c r="R49" i="9"/>
  <c r="Y17" i="8"/>
  <c r="M49" i="9"/>
  <c r="O105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E105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K105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C105" i="8"/>
  <c r="G105" i="8"/>
  <c r="D105" i="8"/>
  <c r="J97" i="8"/>
  <c r="N97" i="8"/>
  <c r="Y97" i="8" s="1"/>
  <c r="Z96" i="8"/>
  <c r="J95" i="8"/>
  <c r="S95" i="8" s="1"/>
  <c r="V101" i="8"/>
  <c r="J92" i="8"/>
  <c r="S92" i="8" s="1"/>
  <c r="Q105" i="8"/>
  <c r="N94" i="8"/>
  <c r="W101" i="8"/>
  <c r="X102" i="8"/>
  <c r="N92" i="8"/>
  <c r="W92" i="8" s="1"/>
  <c r="T117" i="8"/>
  <c r="Z95" i="8"/>
  <c r="Z117" i="8"/>
  <c r="Y117" i="8"/>
  <c r="X117" i="8"/>
  <c r="U117" i="8"/>
  <c r="S117" i="8"/>
  <c r="Z104" i="8"/>
  <c r="Z30" i="8"/>
  <c r="AB37" i="8"/>
  <c r="AB23" i="8" l="1"/>
  <c r="W10" i="9"/>
  <c r="V10" i="9"/>
  <c r="U10" i="9"/>
  <c r="T10" i="9"/>
  <c r="W93" i="8"/>
  <c r="Y93" i="8"/>
  <c r="J93" i="8"/>
  <c r="V93" i="8" s="1"/>
  <c r="AB93" i="8" s="1"/>
  <c r="X93" i="8"/>
  <c r="AB96" i="8"/>
  <c r="V32" i="9"/>
  <c r="Z45" i="9"/>
  <c r="X22" i="9"/>
  <c r="V47" i="9"/>
  <c r="Z22" i="9"/>
  <c r="X97" i="8"/>
  <c r="S109" i="8"/>
  <c r="U20" i="9"/>
  <c r="T95" i="8"/>
  <c r="Y102" i="8"/>
  <c r="T109" i="8"/>
  <c r="X101" i="8"/>
  <c r="X94" i="8"/>
  <c r="Y94" i="8"/>
  <c r="K33" i="9"/>
  <c r="W22" i="9"/>
  <c r="AC22" i="9" s="1"/>
  <c r="V22" i="9"/>
  <c r="U47" i="9"/>
  <c r="N48" i="9"/>
  <c r="W102" i="8"/>
  <c r="Y92" i="8"/>
  <c r="Y22" i="9"/>
  <c r="Y20" i="9"/>
  <c r="X19" i="9"/>
  <c r="J44" i="9"/>
  <c r="W45" i="9"/>
  <c r="V45" i="9"/>
  <c r="K48" i="9"/>
  <c r="V109" i="8"/>
  <c r="U22" i="9"/>
  <c r="T45" i="9"/>
  <c r="V103" i="8"/>
  <c r="W97" i="8"/>
  <c r="X20" i="9"/>
  <c r="T32" i="9"/>
  <c r="U32" i="9"/>
  <c r="J48" i="9"/>
  <c r="U109" i="8"/>
  <c r="Y101" i="8"/>
  <c r="T101" i="8"/>
  <c r="X92" i="8"/>
  <c r="V92" i="8"/>
  <c r="T92" i="8"/>
  <c r="S97" i="8"/>
  <c r="V97" i="8"/>
  <c r="T97" i="8"/>
  <c r="U19" i="9"/>
  <c r="W19" i="9"/>
  <c r="V19" i="9"/>
  <c r="V95" i="8"/>
  <c r="AB95" i="8" s="1"/>
  <c r="U95" i="8"/>
  <c r="V20" i="9"/>
  <c r="W20" i="9"/>
  <c r="W94" i="8"/>
  <c r="U101" i="8"/>
  <c r="U92" i="8"/>
  <c r="Y15" i="9"/>
  <c r="K28" i="9"/>
  <c r="W28" i="9" s="1"/>
  <c r="W15" i="9"/>
  <c r="U15" i="9"/>
  <c r="Y19" i="9"/>
  <c r="V15" i="9"/>
  <c r="S101" i="8"/>
  <c r="X45" i="9"/>
  <c r="T15" i="9"/>
  <c r="U97" i="8"/>
  <c r="T47" i="9"/>
  <c r="Y45" i="9"/>
  <c r="X15" i="9"/>
  <c r="W47" i="9"/>
  <c r="Q47" i="9"/>
  <c r="AC23" i="9"/>
  <c r="AC21" i="9"/>
  <c r="AB104" i="8"/>
  <c r="AC34" i="9"/>
  <c r="K41" i="9"/>
  <c r="O48" i="9"/>
  <c r="N41" i="9"/>
  <c r="AA20" i="9"/>
  <c r="O33" i="9"/>
  <c r="Y103" i="8"/>
  <c r="N46" i="9"/>
  <c r="Z92" i="8"/>
  <c r="O27" i="9"/>
  <c r="Z27" i="9" s="1"/>
  <c r="O32" i="9"/>
  <c r="K38" i="9"/>
  <c r="I105" i="8"/>
  <c r="U102" i="8"/>
  <c r="O28" i="9"/>
  <c r="Z28" i="9" s="1"/>
  <c r="O44" i="9"/>
  <c r="Z44" i="9" s="1"/>
  <c r="K27" i="9"/>
  <c r="T27" i="9" s="1"/>
  <c r="AA15" i="9"/>
  <c r="O38" i="9"/>
  <c r="H105" i="8"/>
  <c r="Z94" i="8"/>
  <c r="AB94" i="8" s="1"/>
  <c r="P105" i="8"/>
  <c r="Z102" i="8"/>
  <c r="M105" i="8"/>
  <c r="Z101" i="8"/>
  <c r="L105" i="8"/>
  <c r="AB30" i="8"/>
  <c r="AA73" i="9"/>
  <c r="AA72" i="9"/>
  <c r="O7" i="9"/>
  <c r="O6" i="9"/>
  <c r="Z118" i="8"/>
  <c r="Q114" i="8"/>
  <c r="X118" i="8"/>
  <c r="Z114" i="8"/>
  <c r="M114" i="8"/>
  <c r="L114" i="8"/>
  <c r="J114" i="8"/>
  <c r="I114" i="8"/>
  <c r="G111" i="8"/>
  <c r="H111" i="8"/>
  <c r="I111" i="8"/>
  <c r="H114" i="8"/>
  <c r="O114" i="8"/>
  <c r="K114" i="8"/>
  <c r="Z97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S93" i="8"/>
  <c r="T93" i="8"/>
  <c r="U93" i="8"/>
  <c r="W48" i="9"/>
  <c r="O41" i="9"/>
  <c r="U27" i="9"/>
  <c r="W103" i="8"/>
  <c r="Y27" i="9"/>
  <c r="AC20" i="9"/>
  <c r="X28" i="9"/>
  <c r="V28" i="9"/>
  <c r="X27" i="9"/>
  <c r="W109" i="8"/>
  <c r="J105" i="8"/>
  <c r="V102" i="8"/>
  <c r="AB102" i="8" s="1"/>
  <c r="T102" i="8"/>
  <c r="X44" i="9"/>
  <c r="X32" i="9"/>
  <c r="Z32" i="9"/>
  <c r="T28" i="9"/>
  <c r="Y109" i="8"/>
  <c r="Y28" i="9"/>
  <c r="X108" i="8"/>
  <c r="Y108" i="8"/>
  <c r="W108" i="8"/>
  <c r="Y44" i="9"/>
  <c r="X109" i="8"/>
  <c r="V110" i="8"/>
  <c r="T110" i="8"/>
  <c r="U110" i="8"/>
  <c r="S110" i="8"/>
  <c r="W27" i="9"/>
  <c r="V27" i="9"/>
  <c r="Y32" i="9"/>
  <c r="V48" i="9"/>
  <c r="U48" i="9"/>
  <c r="T48" i="9"/>
  <c r="Z48" i="9"/>
  <c r="Y48" i="9"/>
  <c r="X48" i="9"/>
  <c r="Y110" i="8"/>
  <c r="W110" i="8"/>
  <c r="X110" i="8"/>
  <c r="W46" i="9"/>
  <c r="S102" i="8"/>
  <c r="O46" i="9"/>
  <c r="AA46" i="9" s="1"/>
  <c r="X103" i="8"/>
  <c r="U33" i="9"/>
  <c r="W33" i="9"/>
  <c r="V33" i="9"/>
  <c r="T33" i="9"/>
  <c r="AA33" i="9"/>
  <c r="X33" i="9"/>
  <c r="Y33" i="9"/>
  <c r="Z33" i="9"/>
  <c r="U28" i="9"/>
  <c r="AC15" i="9"/>
  <c r="K49" i="9"/>
  <c r="O49" i="9"/>
  <c r="AB101" i="8"/>
  <c r="Z109" i="8"/>
  <c r="AB109" i="8" s="1"/>
  <c r="Z103" i="8"/>
  <c r="AB103" i="8" s="1"/>
  <c r="O9" i="9"/>
  <c r="O8" i="9"/>
  <c r="Z108" i="8"/>
  <c r="O47" i="9"/>
  <c r="AA28" i="9"/>
  <c r="AC28" i="9" s="1"/>
  <c r="K44" i="9"/>
  <c r="W44" i="9" s="1"/>
  <c r="N105" i="8"/>
  <c r="P114" i="8"/>
  <c r="S125" i="8"/>
  <c r="AB97" i="8"/>
  <c r="U114" i="8"/>
  <c r="W114" i="8"/>
  <c r="T118" i="8"/>
  <c r="Z110" i="8"/>
  <c r="U118" i="8"/>
  <c r="W118" i="8"/>
  <c r="T114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S118" i="8"/>
  <c r="V118" i="8"/>
  <c r="V114" i="8"/>
  <c r="X114" i="8"/>
  <c r="Y118" i="8"/>
  <c r="Y114" i="8"/>
  <c r="D114" i="8"/>
  <c r="S114" i="8" s="1"/>
  <c r="E114" i="8"/>
  <c r="N114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AB110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X125" i="8"/>
  <c r="Y125" i="8"/>
  <c r="V125" i="8"/>
  <c r="U125" i="8"/>
  <c r="T125" i="8"/>
  <c r="Z125" i="8"/>
  <c r="W125" i="8"/>
  <c r="AC14" i="9"/>
  <c r="X10" i="9" l="1"/>
  <c r="X16" i="9" s="1"/>
  <c r="X24" i="9" s="1"/>
  <c r="X29" i="9" s="1"/>
  <c r="X35" i="9" s="1"/>
  <c r="AA57" i="9" l="1"/>
  <c r="AA56" i="9"/>
  <c r="N8" i="8"/>
  <c r="N4" i="10" s="1"/>
  <c r="W4" i="10" s="1"/>
  <c r="J8" i="8"/>
  <c r="J4" i="10" s="1"/>
  <c r="S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Q67" i="8"/>
  <c r="R68" i="9" s="1"/>
  <c r="P67" i="8"/>
  <c r="Q68" i="9" s="1"/>
  <c r="Z68" i="9" s="1"/>
  <c r="O67" i="8"/>
  <c r="P68" i="9" s="1"/>
  <c r="Y68" i="9" s="1"/>
  <c r="M67" i="8"/>
  <c r="N68" i="9" s="1"/>
  <c r="W68" i="9" s="1"/>
  <c r="L67" i="8"/>
  <c r="M68" i="9" s="1"/>
  <c r="V68" i="9" s="1"/>
  <c r="K67" i="8"/>
  <c r="L68" i="9" s="1"/>
  <c r="U68" i="9" s="1"/>
  <c r="I67" i="8"/>
  <c r="J68" i="9" s="1"/>
  <c r="H67" i="8"/>
  <c r="I68" i="9" s="1"/>
  <c r="G67" i="8"/>
  <c r="H68" i="9" s="1"/>
  <c r="E67" i="8"/>
  <c r="F68" i="9" s="1"/>
  <c r="D67" i="8"/>
  <c r="E68" i="9" s="1"/>
  <c r="C67" i="8"/>
  <c r="D68" i="9" s="1"/>
  <c r="C68" i="9"/>
  <c r="AA55" i="9"/>
  <c r="AA58" i="9" s="1"/>
  <c r="R4" i="9"/>
  <c r="AA4" i="9" s="1"/>
  <c r="R3" i="9"/>
  <c r="AA3" i="9" s="1"/>
  <c r="Z8" i="8"/>
  <c r="Z86" i="8" s="1"/>
  <c r="Z7" i="8"/>
  <c r="Z85" i="8" s="1"/>
  <c r="Q86" i="8"/>
  <c r="Q85" i="8"/>
  <c r="Q78" i="8"/>
  <c r="R87" i="9" s="1"/>
  <c r="Q42" i="8"/>
  <c r="Q41" i="8"/>
  <c r="Q11" i="8"/>
  <c r="O111" i="8"/>
  <c r="E111" i="8"/>
  <c r="D111" i="8"/>
  <c r="C111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I78" i="8"/>
  <c r="J87" i="9" s="1"/>
  <c r="P86" i="8"/>
  <c r="O86" i="8"/>
  <c r="N86" i="8"/>
  <c r="M86" i="8"/>
  <c r="L86" i="8"/>
  <c r="K86" i="8"/>
  <c r="J86" i="8"/>
  <c r="I86" i="8"/>
  <c r="H86" i="8"/>
  <c r="G86" i="8"/>
  <c r="P85" i="8"/>
  <c r="O85" i="8"/>
  <c r="N85" i="8"/>
  <c r="M85" i="8"/>
  <c r="L85" i="8"/>
  <c r="K85" i="8"/>
  <c r="J85" i="8"/>
  <c r="I85" i="8"/>
  <c r="H85" i="8"/>
  <c r="G85" i="8"/>
  <c r="M78" i="8"/>
  <c r="N87" i="9" s="1"/>
  <c r="L78" i="8"/>
  <c r="M87" i="9" s="1"/>
  <c r="K78" i="8"/>
  <c r="L87" i="9" s="1"/>
  <c r="H78" i="8"/>
  <c r="I87" i="9" s="1"/>
  <c r="G78" i="8"/>
  <c r="H87" i="9" s="1"/>
  <c r="P42" i="8"/>
  <c r="O42" i="8"/>
  <c r="N42" i="8"/>
  <c r="M42" i="8"/>
  <c r="L42" i="8"/>
  <c r="K42" i="8"/>
  <c r="J42" i="8"/>
  <c r="I42" i="8"/>
  <c r="H42" i="8"/>
  <c r="G42" i="8"/>
  <c r="P41" i="8"/>
  <c r="O41" i="8"/>
  <c r="N41" i="8"/>
  <c r="M41" i="8"/>
  <c r="L41" i="8"/>
  <c r="K41" i="8"/>
  <c r="J41" i="8"/>
  <c r="I41" i="8"/>
  <c r="H41" i="8"/>
  <c r="G41" i="8"/>
  <c r="E42" i="8"/>
  <c r="D42" i="8"/>
  <c r="C42" i="8"/>
  <c r="E41" i="8"/>
  <c r="D41" i="8"/>
  <c r="C41" i="8"/>
  <c r="L11" i="8"/>
  <c r="K11" i="8"/>
  <c r="I11" i="8"/>
  <c r="H11" i="8"/>
  <c r="G11" i="8"/>
  <c r="P11" i="8"/>
  <c r="T8" i="8"/>
  <c r="S8" i="8"/>
  <c r="T7" i="8"/>
  <c r="S7" i="8"/>
  <c r="X8" i="8"/>
  <c r="W8" i="8"/>
  <c r="V8" i="8"/>
  <c r="U8" i="8"/>
  <c r="X7" i="8"/>
  <c r="W7" i="8"/>
  <c r="V7" i="8"/>
  <c r="U7" i="8"/>
  <c r="Y8" i="8"/>
  <c r="Y7" i="8"/>
  <c r="H14" i="8" l="1"/>
  <c r="P14" i="8"/>
  <c r="L14" i="8"/>
  <c r="I14" i="8"/>
  <c r="G14" i="8"/>
  <c r="K14" i="8"/>
  <c r="Q14" i="8"/>
  <c r="I15" i="10"/>
  <c r="G15" i="10"/>
  <c r="H15" i="10"/>
  <c r="K15" i="10"/>
  <c r="Q15" i="10"/>
  <c r="L15" i="10"/>
  <c r="P15" i="10"/>
  <c r="S10" i="8"/>
  <c r="U10" i="8"/>
  <c r="V10" i="8"/>
  <c r="T10" i="8"/>
  <c r="Y10" i="8"/>
  <c r="X10" i="8"/>
  <c r="W10" i="8"/>
  <c r="AB45" i="8"/>
  <c r="AB74" i="8"/>
  <c r="AB53" i="8"/>
  <c r="AB61" i="8"/>
  <c r="Q72" i="8"/>
  <c r="R69" i="9" s="1"/>
  <c r="U87" i="9"/>
  <c r="AA87" i="9"/>
  <c r="X126" i="8"/>
  <c r="V87" i="9"/>
  <c r="W87" i="9"/>
  <c r="K58" i="9"/>
  <c r="I58" i="8"/>
  <c r="X67" i="8"/>
  <c r="Y67" i="8"/>
  <c r="Z67" i="8"/>
  <c r="V67" i="8"/>
  <c r="J67" i="8"/>
  <c r="K68" i="9" s="1"/>
  <c r="T68" i="9" s="1"/>
  <c r="N67" i="8"/>
  <c r="O68" i="9" s="1"/>
  <c r="X68" i="9" s="1"/>
  <c r="I72" i="8"/>
  <c r="J69" i="9" s="1"/>
  <c r="Z78" i="8"/>
  <c r="Z10" i="8"/>
  <c r="H72" i="8"/>
  <c r="I69" i="9" s="1"/>
  <c r="Z41" i="8"/>
  <c r="Z42" i="8"/>
  <c r="G72" i="8"/>
  <c r="H69" i="9" s="1"/>
  <c r="H58" i="8"/>
  <c r="P111" i="8"/>
  <c r="K111" i="8"/>
  <c r="L111" i="8"/>
  <c r="P58" i="8"/>
  <c r="M58" i="8"/>
  <c r="G58" i="8"/>
  <c r="L58" i="8"/>
  <c r="K58" i="8"/>
  <c r="E72" i="8"/>
  <c r="F69" i="9" s="1"/>
  <c r="V126" i="8"/>
  <c r="V58" i="9"/>
  <c r="U58" i="9"/>
  <c r="W126" i="8"/>
  <c r="T126" i="8"/>
  <c r="U126" i="8"/>
  <c r="S126" i="8"/>
  <c r="J11" i="8"/>
  <c r="J78" i="8"/>
  <c r="K87" i="9" s="1"/>
  <c r="J58" i="8"/>
  <c r="N58" i="8"/>
  <c r="K15" i="8" l="1"/>
  <c r="K20" i="8"/>
  <c r="G15" i="8"/>
  <c r="G20" i="8"/>
  <c r="I15" i="8"/>
  <c r="I20" i="8"/>
  <c r="L15" i="8"/>
  <c r="L20" i="8"/>
  <c r="L31" i="8" s="1"/>
  <c r="L89" i="8" s="1"/>
  <c r="P15" i="8"/>
  <c r="P20" i="8"/>
  <c r="Q15" i="8"/>
  <c r="Q20" i="8"/>
  <c r="Q31" i="8" s="1"/>
  <c r="Q89" i="8" s="1"/>
  <c r="H15" i="8"/>
  <c r="H20" i="8"/>
  <c r="J14" i="8"/>
  <c r="J15" i="10"/>
  <c r="Q79" i="8"/>
  <c r="AA69" i="9"/>
  <c r="AA9" i="9"/>
  <c r="AC9" i="9" s="1"/>
  <c r="AA8" i="9"/>
  <c r="AC8" i="9" s="1"/>
  <c r="AA7" i="9"/>
  <c r="AC7" i="9" s="1"/>
  <c r="W67" i="8"/>
  <c r="AB17" i="8"/>
  <c r="AB108" i="8"/>
  <c r="AA48" i="9"/>
  <c r="Z58" i="8"/>
  <c r="Z72" i="8"/>
  <c r="Z79" i="8" s="1"/>
  <c r="AB67" i="8"/>
  <c r="Z11" i="8"/>
  <c r="X15" i="10" s="1"/>
  <c r="AB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H79" i="8"/>
  <c r="H81" i="8" s="1"/>
  <c r="AA88" i="9"/>
  <c r="AA97" i="9" s="1"/>
  <c r="T87" i="9"/>
  <c r="T88" i="9" s="1"/>
  <c r="T97" i="9" s="1"/>
  <c r="AA19" i="9"/>
  <c r="Q58" i="8"/>
  <c r="AA68" i="9"/>
  <c r="AA38" i="9"/>
  <c r="I79" i="8"/>
  <c r="I81" i="8" s="1"/>
  <c r="Q111" i="8"/>
  <c r="G79" i="8"/>
  <c r="G81" i="8" s="1"/>
  <c r="M111" i="8"/>
  <c r="AA44" i="9"/>
  <c r="T58" i="9"/>
  <c r="L72" i="8"/>
  <c r="M69" i="9" s="1"/>
  <c r="V69" i="9" s="1"/>
  <c r="K72" i="8"/>
  <c r="L69" i="9" s="1"/>
  <c r="U69" i="9" s="1"/>
  <c r="J72" i="8"/>
  <c r="K69" i="9" s="1"/>
  <c r="T69" i="9" s="1"/>
  <c r="M72" i="8"/>
  <c r="N69" i="9" s="1"/>
  <c r="W69" i="9" s="1"/>
  <c r="U39" i="9"/>
  <c r="X39" i="9"/>
  <c r="Y38" i="9"/>
  <c r="AA41" i="9"/>
  <c r="V39" i="9"/>
  <c r="Z38" i="9"/>
  <c r="W39" i="9"/>
  <c r="X38" i="9"/>
  <c r="T39" i="9"/>
  <c r="K21" i="8" l="1"/>
  <c r="Q21" i="8"/>
  <c r="J15" i="8"/>
  <c r="J20" i="8"/>
  <c r="J31" i="8" s="1"/>
  <c r="J89" i="8" s="1"/>
  <c r="L21" i="8"/>
  <c r="Z14" i="8"/>
  <c r="Z20" i="8" s="1"/>
  <c r="Z28" i="8" s="1"/>
  <c r="Q38" i="8"/>
  <c r="Q35" i="8"/>
  <c r="L38" i="8"/>
  <c r="L35" i="8"/>
  <c r="AC19" i="9"/>
  <c r="K31" i="8"/>
  <c r="K89" i="8" s="1"/>
  <c r="H31" i="8"/>
  <c r="H89" i="8" s="1"/>
  <c r="I28" i="8"/>
  <c r="I21" i="8"/>
  <c r="H21" i="8"/>
  <c r="Q81" i="8"/>
  <c r="R24" i="9"/>
  <c r="R29" i="9" s="1"/>
  <c r="R35" i="9" s="1"/>
  <c r="Q28" i="8"/>
  <c r="G31" i="8"/>
  <c r="G89" i="8" s="1"/>
  <c r="G21" i="8"/>
  <c r="Z81" i="8"/>
  <c r="Y40" i="9"/>
  <c r="Z40" i="9"/>
  <c r="X40" i="9"/>
  <c r="AC40" i="9"/>
  <c r="U40" i="9"/>
  <c r="V40" i="9"/>
  <c r="T40" i="9"/>
  <c r="Z39" i="9"/>
  <c r="Y126" i="8"/>
  <c r="K79" i="8"/>
  <c r="K81" i="8" s="1"/>
  <c r="Y39" i="9"/>
  <c r="L79" i="8"/>
  <c r="L81" i="8" s="1"/>
  <c r="W105" i="8"/>
  <c r="Y105" i="8"/>
  <c r="X105" i="8"/>
  <c r="Z105" i="8"/>
  <c r="Z41" i="9"/>
  <c r="L28" i="8"/>
  <c r="Y111" i="8"/>
  <c r="Z111" i="8"/>
  <c r="U105" i="8"/>
  <c r="W111" i="8"/>
  <c r="U111" i="8"/>
  <c r="X111" i="8"/>
  <c r="N111" i="8"/>
  <c r="M79" i="8"/>
  <c r="M81" i="8" s="1"/>
  <c r="J79" i="8"/>
  <c r="J81" i="8" s="1"/>
  <c r="Y41" i="9"/>
  <c r="AB92" i="8"/>
  <c r="X41" i="9"/>
  <c r="V105" i="8"/>
  <c r="T105" i="8"/>
  <c r="S105" i="8"/>
  <c r="V38" i="9"/>
  <c r="U38" i="9"/>
  <c r="W38" i="9"/>
  <c r="T38" i="9"/>
  <c r="W41" i="9"/>
  <c r="AC41" i="9" s="1"/>
  <c r="T41" i="9"/>
  <c r="U41" i="9"/>
  <c r="V41" i="9"/>
  <c r="K28" i="8"/>
  <c r="J21" i="8" l="1"/>
  <c r="Z15" i="8"/>
  <c r="K35" i="8"/>
  <c r="K38" i="8"/>
  <c r="G38" i="8"/>
  <c r="G35" i="8"/>
  <c r="H35" i="8"/>
  <c r="H38" i="8"/>
  <c r="J38" i="8"/>
  <c r="J35" i="8"/>
  <c r="Q98" i="8"/>
  <c r="Q119" i="8" s="1"/>
  <c r="L98" i="8"/>
  <c r="L119" i="8" s="1"/>
  <c r="X42" i="9"/>
  <c r="Y42" i="9"/>
  <c r="Z42" i="9"/>
  <c r="T42" i="9"/>
  <c r="AC38" i="9"/>
  <c r="W42" i="9"/>
  <c r="U42" i="9"/>
  <c r="V42" i="9"/>
  <c r="I31" i="8"/>
  <c r="I89" i="8" s="1"/>
  <c r="H28" i="8"/>
  <c r="Q32" i="8"/>
  <c r="R17" i="9"/>
  <c r="R25" i="9"/>
  <c r="G28" i="8"/>
  <c r="AB34" i="8"/>
  <c r="AB105" i="8"/>
  <c r="AA39" i="9"/>
  <c r="AC39" i="9" s="1"/>
  <c r="Z126" i="8"/>
  <c r="AA32" i="9"/>
  <c r="AC32" i="9" s="1"/>
  <c r="AA27" i="9"/>
  <c r="AA45" i="9"/>
  <c r="R30" i="9"/>
  <c r="H32" i="8"/>
  <c r="J28" i="8"/>
  <c r="S111" i="8"/>
  <c r="J111" i="8"/>
  <c r="V111" i="8"/>
  <c r="AB111" i="8" s="1"/>
  <c r="T111" i="8"/>
  <c r="L32" i="8"/>
  <c r="K32" i="8"/>
  <c r="I38" i="8" l="1"/>
  <c r="I35" i="8"/>
  <c r="G98" i="8"/>
  <c r="G119" i="8" s="1"/>
  <c r="K98" i="8"/>
  <c r="K119" i="8" s="1"/>
  <c r="H98" i="8"/>
  <c r="H119" i="8" s="1"/>
  <c r="I32" i="8"/>
  <c r="Z21" i="8"/>
  <c r="Z31" i="8"/>
  <c r="AC27" i="9"/>
  <c r="AA6" i="9"/>
  <c r="AA10" i="9" s="1"/>
  <c r="AA16" i="9" s="1"/>
  <c r="AA24" i="9" s="1"/>
  <c r="AA29" i="9" s="1"/>
  <c r="AA35" i="9" s="1"/>
  <c r="AA42" i="9" s="1"/>
  <c r="G32" i="8"/>
  <c r="V17" i="9"/>
  <c r="R36" i="9"/>
  <c r="R42" i="9"/>
  <c r="R50" i="9" s="1"/>
  <c r="J32" i="8"/>
  <c r="Z89" i="8" l="1"/>
  <c r="Z32" i="8"/>
  <c r="Z38" i="8"/>
  <c r="Z35" i="8"/>
  <c r="I98" i="8"/>
  <c r="I119" i="8" s="1"/>
  <c r="U17" i="9"/>
  <c r="W25" i="9"/>
  <c r="W17" i="9"/>
  <c r="T17" i="9"/>
  <c r="V25" i="9"/>
  <c r="T25" i="9"/>
  <c r="Y11" i="9"/>
  <c r="AC6" i="9"/>
  <c r="R51" i="9"/>
  <c r="T30" i="9"/>
  <c r="J98" i="8"/>
  <c r="J119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T119" i="8"/>
  <c r="U119" i="8"/>
  <c r="S119" i="8"/>
  <c r="T96" i="9" a="1"/>
  <c r="T96" i="9" s="1"/>
  <c r="T94" i="9"/>
  <c r="T95" i="9" a="1"/>
  <c r="T95" i="9" s="1"/>
  <c r="T93" i="9"/>
  <c r="T36" i="9"/>
  <c r="T92" i="9"/>
  <c r="B86" i="8"/>
  <c r="B85" i="8"/>
  <c r="E86" i="8"/>
  <c r="D86" i="8"/>
  <c r="C86" i="8"/>
  <c r="E85" i="8"/>
  <c r="D85" i="8"/>
  <c r="C85" i="8"/>
  <c r="B42" i="8"/>
  <c r="B41" i="8"/>
  <c r="Y42" i="8"/>
  <c r="X42" i="8"/>
  <c r="W42" i="8"/>
  <c r="U42" i="8"/>
  <c r="T42" i="8"/>
  <c r="S42" i="8"/>
  <c r="V42" i="8"/>
  <c r="Y41" i="8"/>
  <c r="X41" i="8"/>
  <c r="W41" i="8"/>
  <c r="V41" i="8"/>
  <c r="U41" i="8"/>
  <c r="T41" i="8"/>
  <c r="S41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S85" i="8"/>
  <c r="S86" i="8"/>
  <c r="V85" i="8"/>
  <c r="W85" i="8"/>
  <c r="W86" i="8"/>
  <c r="X86" i="8"/>
  <c r="U85" i="8"/>
  <c r="X85" i="8"/>
  <c r="U86" i="8"/>
  <c r="T86" i="8"/>
  <c r="Y85" i="8"/>
  <c r="V86" i="8"/>
  <c r="T85" i="8"/>
  <c r="Y86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N78" i="8" l="1"/>
  <c r="O87" i="9" s="1"/>
  <c r="P78" i="8"/>
  <c r="Q87" i="9" s="1"/>
  <c r="Z87" i="9" l="1"/>
  <c r="X87" i="9"/>
  <c r="X88" i="9" s="1"/>
  <c r="X97" i="9" s="1"/>
  <c r="O58" i="8"/>
  <c r="O78" i="8"/>
  <c r="P87" i="9" s="1"/>
  <c r="R11" i="9" l="1"/>
  <c r="R12" i="9"/>
  <c r="Y87" i="9"/>
  <c r="Y88" i="9" s="1"/>
  <c r="Y97" i="9" s="1"/>
  <c r="Z88" i="9"/>
  <c r="Z97" i="9" s="1"/>
  <c r="T11" i="8" l="1"/>
  <c r="D58" i="8"/>
  <c r="C58" i="8"/>
  <c r="E58" i="8"/>
  <c r="T14" i="8" l="1"/>
  <c r="U11" i="8"/>
  <c r="S15" i="10" s="1"/>
  <c r="U50" i="8"/>
  <c r="U58" i="8" s="1"/>
  <c r="U78" i="8"/>
  <c r="S50" i="8"/>
  <c r="S58" i="8" s="1"/>
  <c r="U67" i="8"/>
  <c r="U72" i="8" s="1"/>
  <c r="T67" i="8"/>
  <c r="T72" i="8" s="1"/>
  <c r="T50" i="8"/>
  <c r="T58" i="8" s="1"/>
  <c r="S78" i="8"/>
  <c r="S11" i="8"/>
  <c r="S67" i="8"/>
  <c r="S72" i="8" s="1"/>
  <c r="T78" i="8"/>
  <c r="W78" i="8"/>
  <c r="W58" i="8"/>
  <c r="X78" i="8"/>
  <c r="W11" i="8"/>
  <c r="U15" i="10" s="1"/>
  <c r="W72" i="8"/>
  <c r="X72" i="8"/>
  <c r="V11" i="8"/>
  <c r="T15" i="10" s="1"/>
  <c r="X11" i="8"/>
  <c r="V15" i="10" s="1"/>
  <c r="X58" i="8"/>
  <c r="T15" i="8" l="1"/>
  <c r="T20" i="8"/>
  <c r="T28" i="8" s="1"/>
  <c r="W14" i="8"/>
  <c r="X14" i="8"/>
  <c r="V14" i="8"/>
  <c r="V20" i="8" s="1"/>
  <c r="V28" i="8" s="1"/>
  <c r="S14" i="8"/>
  <c r="U14" i="8"/>
  <c r="AB11" i="8"/>
  <c r="Z15" i="10" s="1"/>
  <c r="U79" i="8"/>
  <c r="U81" i="8" s="1"/>
  <c r="S79" i="8"/>
  <c r="S81" i="8" s="1"/>
  <c r="T79" i="8"/>
  <c r="T81" i="8" s="1"/>
  <c r="W79" i="8"/>
  <c r="W81" i="8" s="1"/>
  <c r="X79" i="8"/>
  <c r="X81" i="8" s="1"/>
  <c r="U15" i="8" l="1"/>
  <c r="U20" i="8"/>
  <c r="U28" i="8" s="1"/>
  <c r="W15" i="8"/>
  <c r="W20" i="8"/>
  <c r="W28" i="8" s="1"/>
  <c r="S15" i="8"/>
  <c r="S20" i="8"/>
  <c r="S28" i="8" s="1"/>
  <c r="X15" i="8"/>
  <c r="X20" i="8"/>
  <c r="X28" i="8" s="1"/>
  <c r="V15" i="8"/>
  <c r="AB15" i="8" s="1"/>
  <c r="AB14" i="8"/>
  <c r="T21" i="8"/>
  <c r="Z17" i="9"/>
  <c r="S21" i="8" l="1"/>
  <c r="T31" i="8"/>
  <c r="X21" i="8"/>
  <c r="W31" i="8"/>
  <c r="V31" i="8"/>
  <c r="AB20" i="8"/>
  <c r="W21" i="8"/>
  <c r="V21" i="8"/>
  <c r="AB21" i="8" s="1"/>
  <c r="U21" i="8"/>
  <c r="X31" i="8"/>
  <c r="Z94" i="9"/>
  <c r="Z25" i="9"/>
  <c r="V89" i="8" l="1"/>
  <c r="V32" i="8"/>
  <c r="W89" i="8"/>
  <c r="W32" i="8"/>
  <c r="X89" i="8"/>
  <c r="X32" i="8"/>
  <c r="T89" i="8"/>
  <c r="T32" i="8"/>
  <c r="V35" i="8"/>
  <c r="V38" i="8"/>
  <c r="X38" i="8"/>
  <c r="X35" i="8"/>
  <c r="W35" i="8"/>
  <c r="W38" i="8"/>
  <c r="T38" i="8"/>
  <c r="T35" i="8"/>
  <c r="S31" i="8"/>
  <c r="U31" i="8"/>
  <c r="AB28" i="8"/>
  <c r="AB27" i="8"/>
  <c r="Z30" i="9"/>
  <c r="U89" i="8" l="1"/>
  <c r="U32" i="8"/>
  <c r="S89" i="8"/>
  <c r="S32" i="8"/>
  <c r="U35" i="8"/>
  <c r="U38" i="8"/>
  <c r="S35" i="8"/>
  <c r="S38" i="8"/>
  <c r="AB38" i="8"/>
  <c r="AB35" i="8"/>
  <c r="AB31" i="8"/>
  <c r="AB32" i="8"/>
  <c r="Z96" i="9" a="1"/>
  <c r="Z96" i="9" s="1"/>
  <c r="Z36" i="9"/>
  <c r="Z95" i="9" a="1"/>
  <c r="Z95" i="9" s="1"/>
  <c r="Z92" i="9"/>
  <c r="Z93" i="9"/>
  <c r="V72" i="8" l="1"/>
  <c r="AB72" i="8" s="1"/>
  <c r="M11" i="8" l="1"/>
  <c r="E11" i="8"/>
  <c r="D11" i="8"/>
  <c r="C11" i="8"/>
  <c r="E78" i="8"/>
  <c r="F87" i="9" s="1"/>
  <c r="D78" i="8"/>
  <c r="E87" i="9" s="1"/>
  <c r="C78" i="8"/>
  <c r="D87" i="9" s="1"/>
  <c r="C87" i="9"/>
  <c r="P72" i="8"/>
  <c r="Q69" i="9" s="1"/>
  <c r="Z69" i="9" s="1"/>
  <c r="N72" i="8"/>
  <c r="O69" i="9" s="1"/>
  <c r="X69" i="9" s="1"/>
  <c r="Y11" i="8"/>
  <c r="W15" i="10" s="1"/>
  <c r="P88" i="9"/>
  <c r="P97" i="9" s="1"/>
  <c r="H88" i="9"/>
  <c r="H97" i="9" s="1"/>
  <c r="D14" i="8" l="1"/>
  <c r="C14" i="8"/>
  <c r="E14" i="8"/>
  <c r="Y14" i="8"/>
  <c r="M14" i="8"/>
  <c r="D15" i="10"/>
  <c r="E15" i="10"/>
  <c r="M15" i="10"/>
  <c r="C69" i="9"/>
  <c r="D72" i="8"/>
  <c r="E69" i="9" s="1"/>
  <c r="C72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V78" i="8"/>
  <c r="O72" i="8"/>
  <c r="P69" i="9" s="1"/>
  <c r="Y69" i="9" s="1"/>
  <c r="Y72" i="8"/>
  <c r="Y78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M15" i="8" l="1"/>
  <c r="M20" i="8"/>
  <c r="Y15" i="8"/>
  <c r="Y20" i="8"/>
  <c r="Y28" i="8" s="1"/>
  <c r="E15" i="8"/>
  <c r="E20" i="8"/>
  <c r="E31" i="8" s="1"/>
  <c r="E89" i="8" s="1"/>
  <c r="C15" i="8"/>
  <c r="C20" i="8"/>
  <c r="C31" i="8" s="1"/>
  <c r="C89" i="8" s="1"/>
  <c r="D15" i="8"/>
  <c r="D20" i="8"/>
  <c r="V79" i="8"/>
  <c r="AB79" i="8" s="1"/>
  <c r="AB78" i="8"/>
  <c r="C79" i="8"/>
  <c r="C81" i="8" s="1"/>
  <c r="P31" i="8"/>
  <c r="P89" i="8" s="1"/>
  <c r="O88" i="9"/>
  <c r="O97" i="9" s="1"/>
  <c r="N79" i="8"/>
  <c r="N81" i="8" s="1"/>
  <c r="AB50" i="8"/>
  <c r="P79" i="8"/>
  <c r="P81" i="8" s="1"/>
  <c r="D79" i="8"/>
  <c r="D81" i="8" s="1"/>
  <c r="E79" i="8"/>
  <c r="E81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Y58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M21" i="8" l="1"/>
  <c r="D21" i="8"/>
  <c r="C38" i="8"/>
  <c r="C35" i="8"/>
  <c r="E35" i="8"/>
  <c r="E38" i="8"/>
  <c r="P35" i="8"/>
  <c r="P38" i="8"/>
  <c r="R92" i="9"/>
  <c r="M17" i="9"/>
  <c r="M25" i="9"/>
  <c r="P21" i="8"/>
  <c r="E21" i="8"/>
  <c r="D31" i="8"/>
  <c r="D89" i="8" s="1"/>
  <c r="M31" i="8"/>
  <c r="M89" i="8" s="1"/>
  <c r="C21" i="8"/>
  <c r="V58" i="8"/>
  <c r="Y31" i="8"/>
  <c r="C28" i="8"/>
  <c r="P28" i="8"/>
  <c r="Y21" i="8"/>
  <c r="E28" i="8"/>
  <c r="Y79" i="8"/>
  <c r="O79" i="8"/>
  <c r="O81" i="8" s="1"/>
  <c r="O17" i="9"/>
  <c r="K17" i="9"/>
  <c r="E32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Y89" i="8" l="1"/>
  <c r="Y32" i="8"/>
  <c r="M35" i="8"/>
  <c r="M38" i="8"/>
  <c r="D35" i="8"/>
  <c r="D38" i="8"/>
  <c r="Y38" i="8"/>
  <c r="Y35" i="8"/>
  <c r="P98" i="8"/>
  <c r="P119" i="8" s="1"/>
  <c r="E98" i="8"/>
  <c r="E119" i="8" s="1"/>
  <c r="C98" i="8"/>
  <c r="V81" i="8"/>
  <c r="AB58" i="8"/>
  <c r="D28" i="8"/>
  <c r="D32" i="8"/>
  <c r="M28" i="8"/>
  <c r="C32" i="8"/>
  <c r="P32" i="8"/>
  <c r="Y81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D98" i="8" l="1"/>
  <c r="D119" i="8" s="1"/>
  <c r="M98" i="8"/>
  <c r="M119" i="8" s="1"/>
  <c r="V119" i="8" s="1"/>
  <c r="M32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C119" i="8"/>
  <c r="U98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V98" i="8" l="1"/>
  <c r="S98" i="8"/>
  <c r="T98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C115" i="8" l="1"/>
  <c r="C120" i="8" s="1"/>
  <c r="C122" i="8" s="1"/>
  <c r="D113" i="8" l="1"/>
  <c r="D115" i="8" l="1"/>
  <c r="D120" i="8" l="1"/>
  <c r="D122" i="8" s="1"/>
  <c r="E113" i="8" l="1"/>
  <c r="E115" i="8" s="1"/>
  <c r="E120" i="8" s="1"/>
  <c r="G115" i="8"/>
  <c r="G120" i="8" s="1"/>
  <c r="E122" i="8" l="1"/>
  <c r="G122" i="8"/>
  <c r="H113" i="8"/>
  <c r="H115" i="8" s="1"/>
  <c r="H120" i="8" s="1"/>
  <c r="T113" i="8"/>
  <c r="H122" i="8" l="1"/>
  <c r="I113" i="8"/>
  <c r="I115" i="8" s="1"/>
  <c r="I120" i="8" s="1"/>
  <c r="I122" i="8" s="1"/>
  <c r="U113" i="8"/>
  <c r="V113" i="8" l="1"/>
  <c r="J113" i="8"/>
  <c r="J115" i="8" s="1"/>
  <c r="J120" i="8" s="1"/>
  <c r="J122" i="8" s="1"/>
  <c r="W113" i="8" l="1"/>
  <c r="K113" i="8"/>
  <c r="K115" i="8" s="1"/>
  <c r="K120" i="8" s="1"/>
  <c r="K122" i="8" s="1"/>
  <c r="X113" i="8" l="1"/>
  <c r="T115" i="8"/>
  <c r="T120" i="8" s="1"/>
  <c r="T122" i="8" s="1"/>
  <c r="L113" i="8"/>
  <c r="L115" i="8" s="1"/>
  <c r="L120" i="8" s="1"/>
  <c r="L122" i="8" s="1"/>
  <c r="Y113" i="8" l="1"/>
  <c r="U115" i="8"/>
  <c r="U120" i="8" s="1"/>
  <c r="U122" i="8" s="1"/>
  <c r="M113" i="8"/>
  <c r="M115" i="8" s="1"/>
  <c r="M120" i="8" s="1"/>
  <c r="M122" i="8" s="1"/>
  <c r="Z113" i="8" l="1"/>
  <c r="V115" i="8"/>
  <c r="V120" i="8" s="1"/>
  <c r="V122" i="8" s="1"/>
  <c r="N113" i="8"/>
  <c r="N115" i="8" s="1"/>
  <c r="O11" i="8" l="1"/>
  <c r="O14" i="8" l="1"/>
  <c r="O15" i="10"/>
  <c r="O15" i="8" l="1"/>
  <c r="O20" i="8"/>
  <c r="O31" i="8" s="1"/>
  <c r="O89" i="8" s="1"/>
  <c r="O35" i="8" l="1"/>
  <c r="O38" i="8"/>
  <c r="O21" i="8"/>
  <c r="O28" i="8"/>
  <c r="O32" i="8" l="1"/>
  <c r="O98" i="8" l="1"/>
  <c r="O119" i="8" s="1"/>
  <c r="N11" i="8"/>
  <c r="N14" i="8" l="1"/>
  <c r="N15" i="10"/>
  <c r="N15" i="8" l="1"/>
  <c r="N20" i="8"/>
  <c r="N31" i="8" s="1"/>
  <c r="N89" i="8" s="1"/>
  <c r="N35" i="8" l="1"/>
  <c r="N38" i="8"/>
  <c r="N21" i="8"/>
  <c r="N28" i="8"/>
  <c r="N32" i="8" l="1"/>
  <c r="Z98" i="8" l="1"/>
  <c r="AB98" i="8" s="1"/>
  <c r="AB89" i="8"/>
  <c r="W98" i="8"/>
  <c r="X98" i="8"/>
  <c r="N98" i="8"/>
  <c r="N119" i="8" s="1"/>
  <c r="N120" i="8" l="1"/>
  <c r="N122" i="8" s="1"/>
  <c r="Z119" i="8"/>
  <c r="Y119" i="8"/>
  <c r="X119" i="8"/>
  <c r="W119" i="8"/>
  <c r="W115" i="8"/>
  <c r="Y98" i="8"/>
  <c r="O113" i="8" l="1"/>
  <c r="O115" i="8" s="1"/>
  <c r="O120" i="8" s="1"/>
  <c r="O122" i="8" s="1"/>
  <c r="W120" i="8"/>
  <c r="W122" i="8" s="1"/>
  <c r="X115" i="8"/>
  <c r="X120" i="8" s="1"/>
  <c r="X122" i="8" s="1"/>
  <c r="P113" i="8" l="1"/>
  <c r="P115" i="8" s="1"/>
  <c r="P120" i="8" s="1"/>
  <c r="P122" i="8" s="1"/>
  <c r="Y115" i="8"/>
  <c r="Y120" i="8" s="1"/>
  <c r="Y122" i="8" s="1"/>
  <c r="S115" i="8"/>
  <c r="S120" i="8" s="1"/>
  <c r="S122" i="8" s="1"/>
  <c r="Q113" i="8" l="1"/>
  <c r="Q115" i="8" s="1"/>
  <c r="Q120" i="8" s="1"/>
  <c r="Z115" i="8"/>
  <c r="Z120" i="8" s="1"/>
  <c r="Z122" i="8" s="1"/>
  <c r="Q122" i="8" l="1"/>
  <c r="C88" i="9"/>
  <c r="C97" i="9" s="1"/>
  <c r="C92" i="9"/>
  <c r="C93" i="9"/>
  <c r="C14" i="10" l="1"/>
  <c r="C29" i="10" s="1"/>
  <c r="C20" i="10" l="1"/>
  <c r="C53" i="10"/>
  <c r="C56" i="10"/>
  <c r="C39" i="10"/>
  <c r="C15" i="10"/>
  <c r="C38" i="10"/>
  <c r="C58" i="10"/>
  <c r="C18" i="10"/>
  <c r="C17" i="10"/>
  <c r="C54" i="10"/>
  <c r="C21" i="10"/>
  <c r="C59" i="10"/>
  <c r="C19" i="10"/>
  <c r="C57" i="10"/>
  <c r="C40" i="10"/>
  <c r="C55" i="10"/>
  <c r="C41" i="10"/>
  <c r="C28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<sst xmlns="http://schemas.openxmlformats.org/spreadsheetml/2006/main" count="257" uniqueCount="208">
  <si>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</si>
  <si>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</si>
  <si>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</si>
  <si>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</si>
  <si>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</si>
  <si>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</si>
  <si>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</si>
  <si>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</si>
  <si>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</si>
  <si>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</si>
  <si>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</si>
  <si>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</si>
  <si>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</si>
  <si>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</si>
  <si>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</si>
  <si>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</si>
  <si>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</si>
  <si>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</si>
  <si>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</si>
  <si>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</si>
  <si>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</si>
  <si>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</si>
  <si>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</si>
  <si>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</si>
  <si>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</si>
  <si>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</si>
  <si>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</si>
  <si>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</si>
  <si>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</si>
  <si>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</si>
  <si>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</si>
  <si>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</si>
  <si>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</si>
  <si>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</si>
  <si>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</si>
  <si>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</si>
  <si>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</si>
  <si>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</si>
  <si>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</si>
  <si>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</si>
  <si>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</si>
  <si>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</si>
  <si>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</si>
  <si>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</si>
  <si>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</si>
  <si>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</si>
  <si>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</si>
  <si>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</si>
  <si>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</si>
  <si>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</si>
  <si>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</si>
  <si>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</si>
  <si>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</si>
  <si>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</si>
  <si>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</si>
  <si>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</si>
  <si>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</si>
  <si>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</si>
  <si>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</si>
  <si>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</si>
  <si>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</si>
  <si>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</si>
  <si>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</si>
  <si>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</si>
  <si>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</si>
  <si>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</si>
  <si>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</si>
  <si>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</si>
  <si>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</si>
  <si>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</si>
  <si>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</si>
  <si>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</si>
  <si>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</si>
  <si>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</si>
  <si>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</si>
  <si>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</si>
  <si>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</si>
  <si>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</si>
  <si>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</si>
  <si>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</si>
  <si>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</si>
  <si>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</si>
  <si>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</si>
  <si>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</si>
  <si>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</si>
  <si>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</si>
  <si>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</si>
  <si>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</si>
  <si>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</si>
  <si>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</si>
  <si>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</si>
  <si>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</si>
  <si>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</si>
  <si>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</si>
  <si>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</si>
  <si>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</si>
  <si>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</si>
  <si>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</si>
  <si>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</si>
  <si>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</si>
  <si>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</si>
  <si>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</si>
  <si>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</si>
  <si>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</si>
  <si>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</si>
  <si>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</si>
  <si>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</si>
  <si>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</si>
  <si>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</si>
  <si>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</si>
  <si>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</si>
  <si>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</si>
  <si>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</si>
  <si>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</si>
  <si>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</si>
  <si>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</si>
  <si>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</si>
  <si>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</si>
  <si>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</si>
  <si>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</si>
  <si>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</si>
  <si>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</si>
  <si>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</si>
  <si>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</si>
  <si>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</si>
  <si>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</si>
  <si>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</si>
  <si>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</si>
  <si>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</si>
  <si>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</si>
  <si>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</si>
  <si>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</si>
  <si>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</si>
  <si>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</si>
  <si>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</si>
  <si>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</si>
  <si>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</si>
  <si>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</si>
  <si>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</si>
  <si>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</si>
  <si>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</si>
  <si>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</si>
  <si>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</si>
  <si>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</si>
  <si>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</si>
  <si>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</si>
  <si>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</si>
  <si>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</si>
  <si>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</si>
  <si>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</si>
  <si>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</si>
  <si>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</si>
  <si>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</si>
  <si>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</si>
  <si>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</si>
  <si>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</si>
  <si>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</si>
  <si>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</si>
  <si>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</si>
  <si>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</si>
  <si>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</si>
  <si>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ST Investments</t>
  </si>
  <si>
    <t>LT Investments</t>
  </si>
  <si>
    <t>Intangibles</t>
  </si>
  <si>
    <t>Cost Of Sales</t>
  </si>
  <si>
    <t>R&amp;D</t>
  </si>
  <si>
    <t>Interest Income</t>
  </si>
  <si>
    <t>Interest Expenses</t>
  </si>
  <si>
    <t xml:space="preserve">Cash &amp; CEs </t>
  </si>
  <si>
    <t>A/R</t>
  </si>
  <si>
    <t>A/P</t>
  </si>
  <si>
    <t>Other Income</t>
  </si>
  <si>
    <t>Prepaid Expenses</t>
  </si>
  <si>
    <t>U.S. Revenues</t>
  </si>
  <si>
    <t>Other Revenues</t>
  </si>
  <si>
    <t>Deferred LT Taxes</t>
  </si>
  <si>
    <t>ST Salaries Payable</t>
  </si>
  <si>
    <t>Other ST Liabilities</t>
  </si>
  <si>
    <t>Dividends Payable</t>
  </si>
  <si>
    <t>ST Taxes Payable</t>
  </si>
  <si>
    <t>Current Portion of LT Debt</t>
  </si>
  <si>
    <t>LT Salaries Payable</t>
  </si>
  <si>
    <t>Ammortization of Intangibles</t>
  </si>
  <si>
    <t>SG&amp;A</t>
  </si>
  <si>
    <t>ForEx (Gain) Loss</t>
  </si>
  <si>
    <t>Established Pharma Product Revenues</t>
  </si>
  <si>
    <t>Nutritionals Revenues</t>
  </si>
  <si>
    <t>Diagnostics Revenues</t>
  </si>
  <si>
    <t>Med Device Revenues</t>
  </si>
  <si>
    <t>Pediatric Nutritionals</t>
  </si>
  <si>
    <t>Adult Nutritionals</t>
  </si>
  <si>
    <t>Total Nutritionals Revenues</t>
  </si>
  <si>
    <t>Total Diagnostics Revenues</t>
  </si>
  <si>
    <t>Core Lab</t>
  </si>
  <si>
    <t>Molecular</t>
  </si>
  <si>
    <t>Point of Care</t>
  </si>
  <si>
    <t>Rapid Diagnostics</t>
  </si>
  <si>
    <t>Total Med Device Revenues</t>
  </si>
  <si>
    <t>Rhythm Management</t>
  </si>
  <si>
    <t>Electrophysiology</t>
  </si>
  <si>
    <t>Heart Failure</t>
  </si>
  <si>
    <t>Vascular</t>
  </si>
  <si>
    <t>Structural Heart</t>
  </si>
  <si>
    <t>Neuromodulation</t>
  </si>
  <si>
    <t>Diabetes Care</t>
  </si>
  <si>
    <t>Internation Revenues</t>
  </si>
  <si>
    <t>Total Revenues</t>
  </si>
  <si>
    <t>Abbott Laboratories Inc (NYSE: ABT)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</si>
</sst>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B143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7" width="8.875" style="5" bestFit="1" customWidth="1"/>
    <col min="18" max="18" width="1.5" style="5" customWidth="1"/>
    <col min="19" max="21" width="8.75" style="5" customWidth="1" outlineLevel="1"/>
    <col min="22" max="22" width="9" style="5" bestFit="1" customWidth="1"/>
    <col min="23" max="25" width="9" style="5" customWidth="1" outlineLevel="1"/>
    <col min="26" max="26" width="9" style="5" bestFit="1" customWidth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" t="s">
        <v>207</v>
      </c>
      <c r="C2" s="101"/>
      <c r="D2" s="101"/>
      <c r="E2" s="101"/>
      <c r="F2" s="3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3"/>
      <c r="S2" s="101"/>
      <c r="T2" s="101"/>
      <c r="U2" s="101"/>
      <c r="V2" s="101"/>
      <c r="W2" s="101"/>
      <c r="X2" s="101"/>
      <c r="Y2" s="101"/>
      <c r="Z2" s="101"/>
      <c r="AA2" s="3"/>
      <c r="AB2" s="1"/>
    </row>
    <row r="3" spans="1:28" ht="12.75" customHeight="1">
      <c r="B3" s="6" t="s">
        <v>74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71</v>
      </c>
      <c r="C4" s="3"/>
      <c r="D4" s="85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16</v>
      </c>
      <c r="B6" s="1" t="s">
        <v>72</v>
      </c>
      <c r="C6" s="2"/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8"/>
      <c r="AB6" s="162" t="s">
        <v>22</v>
      </c>
    </row>
    <row r="7" spans="1:28" ht="12.75" customHeight="1">
      <c r="B7" s="6" t="s">
        <v>75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24</v>
      </c>
      <c r="P7" s="4" t="s">
        <v>25</v>
      </c>
      <c r="Q7" s="4" t="s">
        <v>61</v>
      </c>
      <c r="R7" s="3"/>
      <c r="S7" s="4" t="str">
        <f>J7</f>
        <v>4Q23</v>
      </c>
      <c r="T7" s="4" t="str">
        <f>K7</f>
        <v>1Q24</v>
      </c>
      <c r="U7" s="4" t="str">
        <f>L7</f>
        <v>2Q24</v>
      </c>
      <c r="V7" s="4" t="str">
        <f>M7</f>
        <v>3Q24</v>
      </c>
      <c r="W7" s="4" t="str">
        <f>N7</f>
        <v>4Q24</v>
      </c>
      <c r="X7" s="4" t="str">
        <f>O7</f>
        <v>1Q25</v>
      </c>
      <c r="Y7" s="4" t="str">
        <f>P7</f>
        <v>2Q25</v>
      </c>
      <c r="Z7" s="4" t="str">
        <f>Q7</f>
        <v>3Q25</v>
      </c>
      <c r="AA7" s="38"/>
      <c r="AB7" s="162"/>
    </row>
    <row r="8" spans="1:28" ht="12.75" customHeight="1">
      <c r="B8" s="6" t="s">
        <v>76</v>
      </c>
      <c r="C8" s="3"/>
      <c r="D8" s="85"/>
      <c r="E8" s="85"/>
      <c r="F8" s="3"/>
      <c r="G8" s="3"/>
      <c r="H8" s="3"/>
      <c r="I8" s="3"/>
      <c r="J8" s="3">
        <f>D8</f>
        <v>0</v>
      </c>
      <c r="K8" s="3"/>
      <c r="L8" s="3"/>
      <c r="M8" s="3"/>
      <c r="N8" s="3">
        <f>E8</f>
        <v>0</v>
      </c>
      <c r="O8" s="3"/>
      <c r="P8" s="3"/>
      <c r="Q8" s="3"/>
      <c r="R8" s="3"/>
      <c r="S8" s="3">
        <f>J8</f>
        <v>0</v>
      </c>
      <c r="T8" s="3">
        <f>K8</f>
        <v>0</v>
      </c>
      <c r="U8" s="3">
        <f>L8</f>
        <v>0</v>
      </c>
      <c r="V8" s="3">
        <f>M8</f>
        <v>0</v>
      </c>
      <c r="W8" s="3">
        <f>N8</f>
        <v>0</v>
      </c>
      <c r="X8" s="3">
        <f>O8</f>
        <v>0</v>
      </c>
      <c r="Y8" s="3">
        <f>P8</f>
        <v>0</v>
      </c>
      <c r="Z8" s="3">
        <f>Q8</f>
        <v>0</v>
      </c>
      <c r="AA8" s="38"/>
      <c r="AB8" s="162"/>
    </row>
    <row r="9" spans="1:28" ht="5.0999999999999996" customHeight="1">
      <c r="AB9" s="100"/>
    </row>
    <row r="10" spans="1:28" ht="12.75" customHeight="1">
      <c r="B10" s="9" t="s">
        <v>56</v>
      </c>
      <c r="C10" s="95">
        <v>43653</v>
      </c>
      <c r="D10" s="95">
        <v>40109</v>
      </c>
      <c r="E10" s="95">
        <v>41950</v>
      </c>
      <c r="F10" s="11"/>
      <c r="G10" s="95">
        <v>9747</v>
      </c>
      <c r="H10" s="95">
        <v>9978</v>
      </c>
      <c r="I10" s="95">
        <v>10143</v>
      </c>
      <c r="J10" s="32">
        <f t="shared" ref="J10" si="0">SUM(D10-SUM(G10:I10))</f>
        <v>10241</v>
      </c>
      <c r="K10" s="95">
        <v>9964</v>
      </c>
      <c r="L10" s="95">
        <v>10377</v>
      </c>
      <c r="M10" s="95">
        <v>10635</v>
      </c>
      <c r="N10" s="32">
        <f t="shared" ref="N10" si="1">SUM(E10-SUM(K10:M10))</f>
        <v>10974</v>
      </c>
      <c r="O10" s="82">
        <v>10358</v>
      </c>
      <c r="P10" s="82">
        <v>11142</v>
      </c>
      <c r="Q10" s="82">
        <v>11369</v>
      </c>
      <c r="S10" s="32">
        <f>SUM(G10:J10)</f>
        <v>40109</v>
      </c>
      <c r="T10" s="32">
        <f>SUM(H10:K10)</f>
        <v>40326</v>
      </c>
      <c r="U10" s="32">
        <f>SUM(I10:L10)</f>
        <v>40725</v>
      </c>
      <c r="V10" s="32">
        <f>SUM(J10:M10)</f>
        <v>41217</v>
      </c>
      <c r="W10" s="32">
        <f>SUM(K10:N10)</f>
        <v>41950</v>
      </c>
      <c r="X10" s="32">
        <f>SUM(L10:O10)</f>
        <v>42344</v>
      </c>
      <c r="Y10" s="32">
        <f>SUM(M10:P10)</f>
        <v>43109</v>
      </c>
      <c r="Z10" s="32">
        <f>SUM(N10:Q10)</f>
        <v>43843</v>
      </c>
      <c r="AA10" s="40"/>
      <c r="AB10" s="12">
        <f>SUM(Z10/V10)-1</f>
        <v>6.3711575320862801E-2</v>
      </c>
    </row>
    <row r="11" spans="1:28" ht="12.75" customHeight="1">
      <c r="B11" s="13" t="s">
        <v>12</v>
      </c>
      <c r="C11" s="14">
        <f t="shared" ref="C11:E11" si="2">+SUM(C10:C10)</f>
        <v>43653</v>
      </c>
      <c r="D11" s="14">
        <f t="shared" si="2"/>
        <v>40109</v>
      </c>
      <c r="E11" s="14">
        <f t="shared" si="2"/>
        <v>41950</v>
      </c>
      <c r="F11" s="11"/>
      <c r="G11" s="14">
        <f t="shared" ref="G11:P11" si="3">+SUM(G10:G10)</f>
        <v>9747</v>
      </c>
      <c r="H11" s="14">
        <f t="shared" si="3"/>
        <v>9978</v>
      </c>
      <c r="I11" s="14">
        <f t="shared" si="3"/>
        <v>10143</v>
      </c>
      <c r="J11" s="14">
        <f t="shared" si="3"/>
        <v>10241</v>
      </c>
      <c r="K11" s="14">
        <f t="shared" si="3"/>
        <v>9964</v>
      </c>
      <c r="L11" s="14">
        <f t="shared" si="3"/>
        <v>10377</v>
      </c>
      <c r="M11" s="14">
        <f t="shared" si="3"/>
        <v>10635</v>
      </c>
      <c r="N11" s="14">
        <f t="shared" si="3"/>
        <v>10974</v>
      </c>
      <c r="O11" s="14">
        <f t="shared" si="3"/>
        <v>10358</v>
      </c>
      <c r="P11" s="14">
        <f t="shared" si="3"/>
        <v>11142</v>
      </c>
      <c r="Q11" s="14">
        <f>+SUM(Q10:Q10)</f>
        <v>11369</v>
      </c>
      <c r="S11" s="14">
        <f t="shared" ref="S11:Y11" si="4">+SUM(S10:S10)</f>
        <v>40109</v>
      </c>
      <c r="T11" s="14">
        <f t="shared" si="4"/>
        <v>40326</v>
      </c>
      <c r="U11" s="14">
        <f t="shared" si="4"/>
        <v>40725</v>
      </c>
      <c r="V11" s="14">
        <f t="shared" si="4"/>
        <v>41217</v>
      </c>
      <c r="W11" s="14">
        <f t="shared" si="4"/>
        <v>41950</v>
      </c>
      <c r="X11" s="14">
        <f t="shared" si="4"/>
        <v>42344</v>
      </c>
      <c r="Y11" s="14">
        <f t="shared" si="4"/>
        <v>43109</v>
      </c>
      <c r="Z11" s="14">
        <f>+SUM(Z10:Z10)</f>
        <v>43843</v>
      </c>
      <c r="AA11" s="40"/>
      <c r="AB11" s="15">
        <f>SUM(Z11/V11)-1</f>
        <v>6.3711575320862801E-2</v>
      </c>
    </row>
    <row r="12" spans="1:28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B12" s="75"/>
    </row>
    <row r="13" spans="1:28" s="20" customFormat="1">
      <c r="B13" s="9" t="s">
        <v>164</v>
      </c>
      <c r="C13" s="95">
        <v>-19142</v>
      </c>
      <c r="D13" s="95">
        <v>-17975</v>
      </c>
      <c r="E13" s="95">
        <v>-18706</v>
      </c>
      <c r="F13" s="32"/>
      <c r="G13" s="95">
        <v>-4331</v>
      </c>
      <c r="H13" s="95">
        <v>-4483</v>
      </c>
      <c r="I13" s="95">
        <v>-4605</v>
      </c>
      <c r="J13" s="32">
        <f t="shared" ref="J13" si="5">SUM(D13-SUM(G13:I13))</f>
        <v>-4556</v>
      </c>
      <c r="K13" s="95">
        <v>-4463</v>
      </c>
      <c r="L13" s="95">
        <v>-4603</v>
      </c>
      <c r="M13" s="95">
        <v>-4698</v>
      </c>
      <c r="N13" s="32">
        <f t="shared" ref="N13" si="6">SUM(E13-SUM(K13:M13))</f>
        <v>-4942</v>
      </c>
      <c r="O13" s="95">
        <v>-4468</v>
      </c>
      <c r="P13" s="95">
        <v>-4854</v>
      </c>
      <c r="Q13" s="95">
        <v>-5075</v>
      </c>
      <c r="R13" s="5"/>
      <c r="S13" s="32">
        <f>SUM(G13:J13)</f>
        <v>-17975</v>
      </c>
      <c r="T13" s="32">
        <f>SUM(H13:K13)</f>
        <v>-18107</v>
      </c>
      <c r="U13" s="32">
        <f>SUM(I13:L13)</f>
        <v>-18227</v>
      </c>
      <c r="V13" s="32">
        <f>SUM(J13:M13)</f>
        <v>-18320</v>
      </c>
      <c r="W13" s="32">
        <f>SUM(K13:N13)</f>
        <v>-18706</v>
      </c>
      <c r="X13" s="32">
        <f>SUM(L13:O13)</f>
        <v>-18711</v>
      </c>
      <c r="Y13" s="32">
        <f>SUM(M13:P13)</f>
        <v>-18962</v>
      </c>
      <c r="Z13" s="32">
        <f>SUM(N13:Q13)</f>
        <v>-19339</v>
      </c>
      <c r="AA13" s="11"/>
      <c r="AB13" s="75">
        <f t="shared" ref="AB13" si="7">SUM(Z13/V13)-1</f>
        <v>5.5622270742358149E-2</v>
      </c>
    </row>
    <row r="14" spans="1:28" s="20" customFormat="1">
      <c r="B14" s="25" t="s">
        <v>20</v>
      </c>
      <c r="C14" s="26">
        <f t="shared" ref="C14:E14" si="8">SUM(C11+C13)</f>
        <v>24511</v>
      </c>
      <c r="D14" s="26">
        <f t="shared" si="8"/>
        <v>22134</v>
      </c>
      <c r="E14" s="26">
        <f t="shared" si="8"/>
        <v>23244</v>
      </c>
      <c r="F14" s="32"/>
      <c r="G14" s="26">
        <f t="shared" ref="G14" si="9">SUM(G11+G13)</f>
        <v>5416</v>
      </c>
      <c r="H14" s="26">
        <f t="shared" ref="H14" si="10">SUM(H11+H13)</f>
        <v>5495</v>
      </c>
      <c r="I14" s="26">
        <f t="shared" ref="I14" si="11">SUM(I11+I13)</f>
        <v>5538</v>
      </c>
      <c r="J14" s="26">
        <f t="shared" ref="J14" si="12">SUM(J11+J13)</f>
        <v>5685</v>
      </c>
      <c r="K14" s="26">
        <f t="shared" ref="K14" si="13">SUM(K11+K13)</f>
        <v>5501</v>
      </c>
      <c r="L14" s="26">
        <f t="shared" ref="L14" si="14">SUM(L11+L13)</f>
        <v>5774</v>
      </c>
      <c r="M14" s="26">
        <f t="shared" ref="M14" si="15">SUM(M11+M13)</f>
        <v>5937</v>
      </c>
      <c r="N14" s="26">
        <f t="shared" ref="N14" si="16">SUM(N11+N13)</f>
        <v>6032</v>
      </c>
      <c r="O14" s="26">
        <f t="shared" ref="O14" si="17">SUM(O11+O13)</f>
        <v>5890</v>
      </c>
      <c r="P14" s="26">
        <f t="shared" ref="P14" si="18">SUM(P11+P13)</f>
        <v>6288</v>
      </c>
      <c r="Q14" s="26">
        <f t="shared" ref="Q14" si="19">SUM(Q11+Q13)</f>
        <v>6294</v>
      </c>
      <c r="R14" s="5"/>
      <c r="S14" s="26">
        <f t="shared" ref="S14" si="20">SUM(S11+S13)</f>
        <v>22134</v>
      </c>
      <c r="T14" s="26">
        <f t="shared" ref="T14" si="21">SUM(T11+T13)</f>
        <v>22219</v>
      </c>
      <c r="U14" s="26">
        <f t="shared" ref="U14" si="22">SUM(U11+U13)</f>
        <v>22498</v>
      </c>
      <c r="V14" s="26">
        <f t="shared" ref="V14" si="23">SUM(V11+V13)</f>
        <v>22897</v>
      </c>
      <c r="W14" s="26">
        <f t="shared" ref="W14" si="24">SUM(W11+W13)</f>
        <v>23244</v>
      </c>
      <c r="X14" s="26">
        <f t="shared" ref="X14" si="25">SUM(X11+X13)</f>
        <v>23633</v>
      </c>
      <c r="Y14" s="26">
        <f t="shared" ref="Y14" si="26">SUM(Y11+Y13)</f>
        <v>24147</v>
      </c>
      <c r="Z14" s="26">
        <f t="shared" ref="Z14" si="27">SUM(Z11+Z13)</f>
        <v>24504</v>
      </c>
      <c r="AA14" s="11"/>
      <c r="AB14" s="76">
        <f>SUM(Z14/V14)-1</f>
        <v>7.0183866882124191E-2</v>
      </c>
    </row>
    <row r="15" spans="1:28" s="20" customFormat="1">
      <c r="B15" s="16" t="s">
        <v>29</v>
      </c>
      <c r="C15" s="17">
        <f t="shared" ref="C15:E15" si="28">C14/C11</f>
        <v>0.5614963461846838</v>
      </c>
      <c r="D15" s="17">
        <f t="shared" si="28"/>
        <v>0.5518462190530804</v>
      </c>
      <c r="E15" s="17">
        <f t="shared" si="28"/>
        <v>0.55408820023837901</v>
      </c>
      <c r="F15" s="32"/>
      <c r="G15" s="17">
        <f t="shared" ref="G15" si="29">G14/G11</f>
        <v>0.55565815122601825</v>
      </c>
      <c r="H15" s="17">
        <f t="shared" ref="H15" si="30">H14/H11</f>
        <v>0.5507115654439767</v>
      </c>
      <c r="I15" s="17">
        <f t="shared" ref="I15" si="31">I14/I11</f>
        <v>0.54599230996746528</v>
      </c>
      <c r="J15" s="17">
        <f t="shared" ref="J15" si="32">J14/J11</f>
        <v>0.55512157015916419</v>
      </c>
      <c r="K15" s="17">
        <f t="shared" ref="K15" si="33">K14/K11</f>
        <v>0.55208751505419507</v>
      </c>
      <c r="L15" s="17">
        <f t="shared" ref="L15" si="34">L14/L11</f>
        <v>0.55642285824419391</v>
      </c>
      <c r="M15" s="17">
        <f t="shared" ref="M15" si="35">M14/M11</f>
        <v>0.55825105782792661</v>
      </c>
      <c r="N15" s="17">
        <f t="shared" ref="N15" si="36">N14/N11</f>
        <v>0.54966283943867322</v>
      </c>
      <c r="O15" s="17">
        <f t="shared" ref="O15" si="37">O14/O11</f>
        <v>0.56864259509557835</v>
      </c>
      <c r="P15" s="17">
        <f t="shared" ref="P15" si="38">P14/P11</f>
        <v>0.56435110393107157</v>
      </c>
      <c r="Q15" s="17">
        <f t="shared" ref="Q15" si="39">Q14/Q11</f>
        <v>0.55361069575160526</v>
      </c>
      <c r="R15" s="5"/>
      <c r="S15" s="17">
        <f t="shared" ref="S15" si="40">S14/S11</f>
        <v>0.5518462190530804</v>
      </c>
      <c r="T15" s="17">
        <f t="shared" ref="T15" si="41">T14/T11</f>
        <v>0.55098447651639137</v>
      </c>
      <c r="U15" s="17">
        <f t="shared" ref="U15" si="42">U14/U11</f>
        <v>0.55243707796193986</v>
      </c>
      <c r="V15" s="17">
        <f t="shared" ref="V15" si="43">V14/V11</f>
        <v>0.55552320644394304</v>
      </c>
      <c r="W15" s="17">
        <f t="shared" ref="W15" si="44">W14/W11</f>
        <v>0.55408820023837901</v>
      </c>
      <c r="X15" s="17">
        <f t="shared" ref="X15" si="45">X14/X11</f>
        <v>0.55811921405630083</v>
      </c>
      <c r="Y15" s="17">
        <f t="shared" ref="Y15" si="46">Y14/Y11</f>
        <v>0.56013825419286001</v>
      </c>
      <c r="Z15" s="17">
        <f t="shared" ref="Z15" si="47">Z14/Z11</f>
        <v>0.55890335971534799</v>
      </c>
      <c r="AA15" s="11"/>
      <c r="AB15" s="77">
        <f>SUM(Z15-V15)*1000</f>
        <v>3.3801532714049509</v>
      </c>
    </row>
    <row r="16" spans="1:28" s="20" customFormat="1" ht="5.0999999999999996" customHeight="1">
      <c r="B16" s="18"/>
      <c r="C16" s="19"/>
      <c r="D16" s="19"/>
      <c r="E16" s="19"/>
      <c r="G16" s="21"/>
      <c r="H16" s="21"/>
      <c r="I16" s="21"/>
      <c r="J16" s="21"/>
      <c r="K16" s="21"/>
      <c r="L16" s="21"/>
      <c r="M16" s="21"/>
      <c r="N16" s="21"/>
      <c r="O16" s="22"/>
      <c r="P16" s="21"/>
      <c r="Q16" s="21"/>
      <c r="AB16" s="75"/>
    </row>
    <row r="17" spans="2:28" ht="12.75" customHeight="1">
      <c r="B17" s="9" t="s">
        <v>182</v>
      </c>
      <c r="C17" s="95">
        <v>-2013</v>
      </c>
      <c r="D17" s="95">
        <v>-1966</v>
      </c>
      <c r="E17" s="95">
        <v>-1878</v>
      </c>
      <c r="F17" s="32"/>
      <c r="G17" s="95">
        <v>-491</v>
      </c>
      <c r="H17" s="95">
        <v>-498</v>
      </c>
      <c r="I17" s="95">
        <v>-496</v>
      </c>
      <c r="J17" s="32">
        <f t="shared" ref="J17:J19" si="48">SUM(D17-SUM(G17:I17))</f>
        <v>-481</v>
      </c>
      <c r="K17" s="95">
        <v>-472</v>
      </c>
      <c r="L17" s="95">
        <v>-471</v>
      </c>
      <c r="M17" s="95">
        <v>-470</v>
      </c>
      <c r="N17" s="32">
        <f t="shared" ref="N17:N19" si="49">SUM(E17-SUM(K17:M17))</f>
        <v>-465</v>
      </c>
      <c r="O17" s="95">
        <v>-420</v>
      </c>
      <c r="P17" s="95">
        <v>-420</v>
      </c>
      <c r="Q17" s="95">
        <v>-420</v>
      </c>
      <c r="S17" s="32">
        <f>SUM(G17:J17)</f>
        <v>-1966</v>
      </c>
      <c r="T17" s="32">
        <f>SUM(H17:K17)</f>
        <v>-1947</v>
      </c>
      <c r="U17" s="32">
        <f>SUM(I17:L17)</f>
        <v>-1920</v>
      </c>
      <c r="V17" s="32">
        <f>SUM(J17:M17)</f>
        <v>-1894</v>
      </c>
      <c r="W17" s="32">
        <f>SUM(K17:N17)</f>
        <v>-1878</v>
      </c>
      <c r="X17" s="32">
        <f>SUM(L17:O17)</f>
        <v>-1826</v>
      </c>
      <c r="Y17" s="32">
        <f>SUM(M17:P17)</f>
        <v>-1775</v>
      </c>
      <c r="Z17" s="32">
        <f>SUM(N17:Q17)</f>
        <v>-1725</v>
      </c>
      <c r="AA17" s="11"/>
      <c r="AB17" s="75">
        <f>SUM(Z17/V17)-1</f>
        <v>-8.9229144667370641E-2</v>
      </c>
    </row>
    <row r="18" spans="2:28" ht="12.75" customHeight="1">
      <c r="B18" s="9" t="s">
        <v>165</v>
      </c>
      <c r="C18" s="95">
        <v>-2888</v>
      </c>
      <c r="D18" s="95">
        <v>-2741</v>
      </c>
      <c r="E18" s="95">
        <v>-2844</v>
      </c>
      <c r="F18" s="32"/>
      <c r="G18" s="95">
        <v>-654</v>
      </c>
      <c r="H18" s="95">
        <v>-715</v>
      </c>
      <c r="I18" s="95">
        <v>-672</v>
      </c>
      <c r="J18" s="32">
        <f t="shared" si="48"/>
        <v>-700</v>
      </c>
      <c r="K18" s="95">
        <v>-684</v>
      </c>
      <c r="L18" s="95">
        <v>-698</v>
      </c>
      <c r="M18" s="95">
        <v>-713</v>
      </c>
      <c r="N18" s="32">
        <f t="shared" si="49"/>
        <v>-749</v>
      </c>
      <c r="O18" s="95">
        <v>-716</v>
      </c>
      <c r="P18" s="95">
        <v>-725</v>
      </c>
      <c r="Q18" s="95">
        <v>-766</v>
      </c>
      <c r="S18" s="32">
        <f>SUM(G18:J18)</f>
        <v>-2741</v>
      </c>
      <c r="T18" s="32">
        <f>SUM(H18:K18)</f>
        <v>-2771</v>
      </c>
      <c r="U18" s="32">
        <f>SUM(I18:L18)</f>
        <v>-2754</v>
      </c>
      <c r="V18" s="32">
        <f>SUM(J18:M18)</f>
        <v>-2795</v>
      </c>
      <c r="W18" s="32">
        <f>SUM(K18:N18)</f>
        <v>-2844</v>
      </c>
      <c r="X18" s="32">
        <f>SUM(L18:O18)</f>
        <v>-2876</v>
      </c>
      <c r="Y18" s="32">
        <f>SUM(M18:P18)</f>
        <v>-2903</v>
      </c>
      <c r="Z18" s="32">
        <f>SUM(N18:Q18)</f>
        <v>-2956</v>
      </c>
      <c r="AA18" s="11"/>
      <c r="AB18" s="75">
        <f t="shared" ref="AB18:AB19" si="50">SUM(Z18/V18)-1</f>
        <v>5.7602862254025E-2</v>
      </c>
    </row>
    <row r="19" spans="2:28" ht="12.75" customHeight="1">
      <c r="B19" s="9" t="s">
        <v>183</v>
      </c>
      <c r="C19" s="95">
        <v>-11248</v>
      </c>
      <c r="D19" s="95">
        <v>-10949</v>
      </c>
      <c r="E19" s="95">
        <v>-11697</v>
      </c>
      <c r="F19" s="32"/>
      <c r="G19" s="95">
        <v>-2762</v>
      </c>
      <c r="H19" s="95">
        <v>-2740</v>
      </c>
      <c r="I19" s="95">
        <v>-2723</v>
      </c>
      <c r="J19" s="32">
        <f t="shared" si="48"/>
        <v>-2724</v>
      </c>
      <c r="K19" s="95">
        <v>-2959</v>
      </c>
      <c r="L19" s="95">
        <v>-2936</v>
      </c>
      <c r="M19" s="95">
        <v>-2895</v>
      </c>
      <c r="N19" s="32">
        <f t="shared" si="49"/>
        <v>-2907</v>
      </c>
      <c r="O19" s="95">
        <v>-3061</v>
      </c>
      <c r="P19" s="95">
        <v>-3091</v>
      </c>
      <c r="Q19" s="95">
        <v>-3051</v>
      </c>
      <c r="S19" s="32">
        <f>SUM(G19:J19)</f>
        <v>-10949</v>
      </c>
      <c r="T19" s="32">
        <f>SUM(H19:K19)</f>
        <v>-11146</v>
      </c>
      <c r="U19" s="32">
        <f>SUM(I19:L19)</f>
        <v>-11342</v>
      </c>
      <c r="V19" s="32">
        <f>SUM(J19:M19)</f>
        <v>-11514</v>
      </c>
      <c r="W19" s="32">
        <f>SUM(K19:N19)</f>
        <v>-11697</v>
      </c>
      <c r="X19" s="32">
        <f>SUM(L19:O19)</f>
        <v>-11799</v>
      </c>
      <c r="Y19" s="32">
        <f>SUM(M19:P19)</f>
        <v>-11954</v>
      </c>
      <c r="Z19" s="32">
        <f>SUM(N19:Q19)</f>
        <v>-12110</v>
      </c>
      <c r="AA19" s="11"/>
      <c r="AB19" s="75">
        <f t="shared" si="50"/>
        <v>5.1763071043946507E-2</v>
      </c>
    </row>
    <row r="20" spans="2:28" ht="12.75" customHeight="1">
      <c r="B20" s="25" t="s">
        <v>77</v>
      </c>
      <c r="C20" s="26">
        <f t="shared" ref="C20:E20" si="51">+SUM(C14+SUM(C17:C19))</f>
        <v>8362</v>
      </c>
      <c r="D20" s="26">
        <f t="shared" si="51"/>
        <v>6478</v>
      </c>
      <c r="E20" s="26">
        <f t="shared" si="51"/>
        <v>6825</v>
      </c>
      <c r="F20" s="32"/>
      <c r="G20" s="26">
        <f t="shared" ref="G20" si="52">+SUM(G14+SUM(G17:G19))</f>
        <v>1509</v>
      </c>
      <c r="H20" s="26">
        <f t="shared" ref="H20" si="53">+SUM(H14+SUM(H17:H19))</f>
        <v>1542</v>
      </c>
      <c r="I20" s="26">
        <f t="shared" ref="I20" si="54">+SUM(I14+SUM(I17:I19))</f>
        <v>1647</v>
      </c>
      <c r="J20" s="26">
        <f t="shared" ref="J20" si="55">+SUM(J14+SUM(J17:J19))</f>
        <v>1780</v>
      </c>
      <c r="K20" s="26">
        <f t="shared" ref="K20" si="56">+SUM(K14+SUM(K17:K19))</f>
        <v>1386</v>
      </c>
      <c r="L20" s="26">
        <f t="shared" ref="L20" si="57">+SUM(L14+SUM(L17:L19))</f>
        <v>1669</v>
      </c>
      <c r="M20" s="26">
        <f t="shared" ref="M20" si="58">+SUM(M14+SUM(M17:M19))</f>
        <v>1859</v>
      </c>
      <c r="N20" s="26">
        <f t="shared" ref="N20" si="59">+SUM(N14+SUM(N17:N19))</f>
        <v>1911</v>
      </c>
      <c r="O20" s="26">
        <f t="shared" ref="O20" si="60">+SUM(O14+SUM(O17:O19))</f>
        <v>1693</v>
      </c>
      <c r="P20" s="26">
        <f t="shared" ref="P20" si="61">+SUM(P14+SUM(P17:P19))</f>
        <v>2052</v>
      </c>
      <c r="Q20" s="26">
        <f t="shared" ref="Q20" si="62">+SUM(Q14+SUM(Q17:Q19))</f>
        <v>2057</v>
      </c>
      <c r="S20" s="26">
        <f t="shared" ref="S20" si="63">+SUM(S14+SUM(S17:S19))</f>
        <v>6478</v>
      </c>
      <c r="T20" s="26">
        <f t="shared" ref="T20" si="64">+SUM(T14+SUM(T17:T19))</f>
        <v>6355</v>
      </c>
      <c r="U20" s="26">
        <f t="shared" ref="U20" si="65">+SUM(U14+SUM(U17:U19))</f>
        <v>6482</v>
      </c>
      <c r="V20" s="26">
        <f t="shared" ref="V20" si="66">+SUM(V14+SUM(V17:V19))</f>
        <v>6694</v>
      </c>
      <c r="W20" s="26">
        <f t="shared" ref="W20" si="67">+SUM(W14+SUM(W17:W19))</f>
        <v>6825</v>
      </c>
      <c r="X20" s="26">
        <f t="shared" ref="X20" si="68">+SUM(X14+SUM(X17:X19))</f>
        <v>7132</v>
      </c>
      <c r="Y20" s="26">
        <f t="shared" ref="Y20" si="69">+SUM(Y14+SUM(Y17:Y19))</f>
        <v>7515</v>
      </c>
      <c r="Z20" s="26">
        <f t="shared" ref="Z20" si="70">+SUM(Z14+SUM(Z17:Z19))</f>
        <v>7713</v>
      </c>
      <c r="AA20" s="11"/>
      <c r="AB20" s="76">
        <f>SUM(Z20/V20)-1</f>
        <v>0.15222587391694065</v>
      </c>
    </row>
    <row r="21" spans="2:28" ht="12.75" customHeight="1">
      <c r="B21" s="16" t="s">
        <v>31</v>
      </c>
      <c r="C21" s="17">
        <f>C20/C11</f>
        <v>0.19155613588985865</v>
      </c>
      <c r="D21" s="17">
        <f>D20/D11</f>
        <v>0.16150988556184398</v>
      </c>
      <c r="E21" s="17">
        <f>E20/E11</f>
        <v>0.16269368295589989</v>
      </c>
      <c r="F21" s="32"/>
      <c r="G21" s="17">
        <f>G20/G11</f>
        <v>0.15481686672822406</v>
      </c>
      <c r="H21" s="17">
        <f>H20/H11</f>
        <v>0.15453998797354179</v>
      </c>
      <c r="I21" s="17">
        <f>I20/I11</f>
        <v>0.16237799467613132</v>
      </c>
      <c r="J21" s="17">
        <f>J20/J11</f>
        <v>0.17381115125476027</v>
      </c>
      <c r="K21" s="17">
        <f>K20/K11</f>
        <v>0.13910076274588518</v>
      </c>
      <c r="L21" s="17">
        <f>L20/L11</f>
        <v>0.16083646525970896</v>
      </c>
      <c r="M21" s="17">
        <f>M20/M11</f>
        <v>0.17480018805829808</v>
      </c>
      <c r="N21" s="17">
        <f>N20/N11</f>
        <v>0.17413887370147621</v>
      </c>
      <c r="O21" s="17">
        <f>O20/O11</f>
        <v>0.16344854218961188</v>
      </c>
      <c r="P21" s="17">
        <f>P20/P11</f>
        <v>0.18416801292407109</v>
      </c>
      <c r="Q21" s="17">
        <f>Q20/Q11</f>
        <v>0.18093060075644296</v>
      </c>
      <c r="S21" s="17">
        <f>S20/S11</f>
        <v>0.16150988556184398</v>
      </c>
      <c r="T21" s="17">
        <f>T20/T11</f>
        <v>0.15759063631404058</v>
      </c>
      <c r="U21" s="17">
        <f>U20/U11</f>
        <v>0.15916513198281154</v>
      </c>
      <c r="V21" s="17">
        <f>V20/V11</f>
        <v>0.16240871485066841</v>
      </c>
      <c r="W21" s="17">
        <f>W20/W11</f>
        <v>0.16269368295589989</v>
      </c>
      <c r="X21" s="17">
        <f>X20/X11</f>
        <v>0.16843000188928775</v>
      </c>
      <c r="Y21" s="17">
        <f>Y20/Y11</f>
        <v>0.1743255468695632</v>
      </c>
      <c r="Z21" s="17">
        <f>Z20/Z11</f>
        <v>0.17592318043929475</v>
      </c>
      <c r="AA21" s="11"/>
      <c r="AB21" s="77">
        <f>SUM(Z21-V21)*1000</f>
        <v>13.514465588626345</v>
      </c>
    </row>
    <row r="22" spans="2:28" ht="5.0999999999999996" customHeight="1">
      <c r="B22" s="16"/>
      <c r="C22" s="17"/>
      <c r="D22" s="17"/>
      <c r="E22" s="17"/>
      <c r="F22" s="32"/>
      <c r="G22" s="82"/>
      <c r="H22" s="82"/>
      <c r="I22" s="82"/>
      <c r="J22" s="82"/>
      <c r="K22" s="82"/>
      <c r="L22" s="82"/>
      <c r="M22" s="82"/>
      <c r="N22" s="82"/>
      <c r="O22" s="32"/>
      <c r="P22" s="82"/>
      <c r="Q22" s="82"/>
      <c r="S22" s="32"/>
      <c r="T22" s="32"/>
      <c r="U22" s="32"/>
      <c r="V22" s="32"/>
      <c r="W22" s="32"/>
      <c r="X22" s="32"/>
      <c r="Y22" s="32"/>
      <c r="Z22" s="32"/>
      <c r="AA22" s="11"/>
      <c r="AB22" s="75"/>
    </row>
    <row r="23" spans="2:28" ht="12.75" customHeight="1">
      <c r="B23" s="9" t="s">
        <v>167</v>
      </c>
      <c r="C23" s="82">
        <v>-558</v>
      </c>
      <c r="D23" s="82">
        <v>-637</v>
      </c>
      <c r="E23" s="82">
        <v>-559</v>
      </c>
      <c r="F23" s="32"/>
      <c r="G23" s="82">
        <v>-153</v>
      </c>
      <c r="H23" s="82">
        <v>-159</v>
      </c>
      <c r="I23" s="82">
        <v>-166</v>
      </c>
      <c r="J23" s="32">
        <f t="shared" ref="J23:J26" si="71">SUM(D23-SUM(G23:I23))</f>
        <v>-159</v>
      </c>
      <c r="K23" s="82">
        <v>-141</v>
      </c>
      <c r="L23" s="82">
        <v>-140</v>
      </c>
      <c r="M23" s="82">
        <v>-142</v>
      </c>
      <c r="N23" s="32">
        <f t="shared" ref="N23:N26" si="72">SUM(E23-SUM(K23:M23))</f>
        <v>-136</v>
      </c>
      <c r="O23" s="82">
        <v>-131</v>
      </c>
      <c r="P23" s="82">
        <v>-121</v>
      </c>
      <c r="Q23" s="82">
        <v>-121</v>
      </c>
      <c r="S23" s="32">
        <f>SUM(G23:J23)</f>
        <v>-637</v>
      </c>
      <c r="T23" s="32">
        <f>SUM(H23:K23)</f>
        <v>-625</v>
      </c>
      <c r="U23" s="32">
        <f>SUM(I23:L23)</f>
        <v>-606</v>
      </c>
      <c r="V23" s="32">
        <f>SUM(J23:M23)</f>
        <v>-582</v>
      </c>
      <c r="W23" s="32">
        <f>SUM(K23:N23)</f>
        <v>-559</v>
      </c>
      <c r="X23" s="32">
        <f>SUM(L23:O23)</f>
        <v>-549</v>
      </c>
      <c r="Y23" s="32">
        <f>SUM(M23:P23)</f>
        <v>-530</v>
      </c>
      <c r="Z23" s="32">
        <f>SUM(N23:Q23)</f>
        <v>-509</v>
      </c>
      <c r="AA23" s="11"/>
      <c r="AB23" s="75">
        <f t="shared" ref="AB23" si="73">SUM(Z23/V23)-1</f>
        <v>-0.12542955326460481</v>
      </c>
    </row>
    <row r="24" spans="2:28" ht="12.75" customHeight="1">
      <c r="B24" s="9" t="s">
        <v>166</v>
      </c>
      <c r="C24" s="82">
        <v>183</v>
      </c>
      <c r="D24" s="82">
        <v>385</v>
      </c>
      <c r="E24" s="82">
        <v>344</v>
      </c>
      <c r="F24" s="32"/>
      <c r="G24" s="82">
        <v>101</v>
      </c>
      <c r="H24" s="82">
        <v>98</v>
      </c>
      <c r="I24" s="82">
        <v>97</v>
      </c>
      <c r="J24" s="32">
        <f t="shared" si="71"/>
        <v>89</v>
      </c>
      <c r="K24" s="82">
        <v>80</v>
      </c>
      <c r="L24" s="82">
        <v>82</v>
      </c>
      <c r="M24" s="82">
        <v>91</v>
      </c>
      <c r="N24" s="32">
        <f t="shared" si="72"/>
        <v>91</v>
      </c>
      <c r="O24" s="82">
        <v>82</v>
      </c>
      <c r="P24" s="82">
        <v>71</v>
      </c>
      <c r="Q24" s="82">
        <v>77</v>
      </c>
      <c r="S24" s="32">
        <f t="shared" ref="S24:S26" si="74">SUM(G24:J24)</f>
        <v>385</v>
      </c>
      <c r="T24" s="32">
        <f t="shared" ref="T24:T26" si="75">SUM(H24:K24)</f>
        <v>364</v>
      </c>
      <c r="U24" s="32">
        <f t="shared" ref="U24:U26" si="76">SUM(I24:L24)</f>
        <v>348</v>
      </c>
      <c r="V24" s="32">
        <f t="shared" ref="V24:V26" si="77">SUM(J24:M24)</f>
        <v>342</v>
      </c>
      <c r="W24" s="32">
        <f t="shared" ref="W24:W26" si="78">SUM(K24:N24)</f>
        <v>344</v>
      </c>
      <c r="X24" s="32">
        <f t="shared" ref="X24:X26" si="79">SUM(L24:O24)</f>
        <v>346</v>
      </c>
      <c r="Y24" s="32">
        <f t="shared" ref="Y24:Y26" si="80">SUM(M24:P24)</f>
        <v>335</v>
      </c>
      <c r="Z24" s="32">
        <f t="shared" ref="Z24:Z26" si="81">SUM(N24:Q24)</f>
        <v>321</v>
      </c>
      <c r="AA24" s="11"/>
      <c r="AB24" s="75"/>
    </row>
    <row r="25" spans="2:28" ht="12.75" customHeight="1">
      <c r="B25" s="9" t="s">
        <v>184</v>
      </c>
      <c r="C25" s="82">
        <v>-2</v>
      </c>
      <c r="D25" s="82">
        <v>-41</v>
      </c>
      <c r="E25" s="82">
        <v>27</v>
      </c>
      <c r="F25" s="32"/>
      <c r="G25" s="82">
        <v>-6</v>
      </c>
      <c r="H25" s="82">
        <v>-21</v>
      </c>
      <c r="I25" s="82">
        <v>10</v>
      </c>
      <c r="J25" s="32">
        <f t="shared" si="71"/>
        <v>-24</v>
      </c>
      <c r="K25" s="82">
        <v>0</v>
      </c>
      <c r="L25" s="82">
        <v>6</v>
      </c>
      <c r="M25" s="82">
        <v>11</v>
      </c>
      <c r="N25" s="32">
        <f t="shared" si="72"/>
        <v>10</v>
      </c>
      <c r="O25" s="82">
        <v>7</v>
      </c>
      <c r="P25" s="82">
        <v>11</v>
      </c>
      <c r="Q25" s="82">
        <v>17</v>
      </c>
      <c r="S25" s="32">
        <f t="shared" si="74"/>
        <v>-41</v>
      </c>
      <c r="T25" s="32">
        <f t="shared" si="75"/>
        <v>-35</v>
      </c>
      <c r="U25" s="32">
        <f t="shared" si="76"/>
        <v>-8</v>
      </c>
      <c r="V25" s="32">
        <f t="shared" si="77"/>
        <v>-7</v>
      </c>
      <c r="W25" s="32">
        <f t="shared" si="78"/>
        <v>27</v>
      </c>
      <c r="X25" s="32">
        <f t="shared" si="79"/>
        <v>34</v>
      </c>
      <c r="Y25" s="32">
        <f t="shared" si="80"/>
        <v>39</v>
      </c>
      <c r="Z25" s="32">
        <f t="shared" si="81"/>
        <v>45</v>
      </c>
      <c r="AA25" s="11"/>
      <c r="AB25" s="75"/>
    </row>
    <row r="26" spans="2:28" ht="12.75" customHeight="1">
      <c r="B26" s="9" t="s">
        <v>171</v>
      </c>
      <c r="C26" s="82">
        <v>321</v>
      </c>
      <c r="D26" s="82">
        <v>479</v>
      </c>
      <c r="E26" s="82">
        <v>376</v>
      </c>
      <c r="F26" s="32"/>
      <c r="G26" s="82">
        <v>111</v>
      </c>
      <c r="H26" s="82">
        <v>176</v>
      </c>
      <c r="I26" s="82">
        <v>83</v>
      </c>
      <c r="J26" s="32">
        <f t="shared" si="71"/>
        <v>109</v>
      </c>
      <c r="K26" s="82">
        <v>111</v>
      </c>
      <c r="L26" s="82">
        <v>-10</v>
      </c>
      <c r="M26" s="82">
        <v>121</v>
      </c>
      <c r="N26" s="32">
        <f t="shared" si="72"/>
        <v>154</v>
      </c>
      <c r="O26" s="82">
        <v>127</v>
      </c>
      <c r="P26" s="82">
        <v>137</v>
      </c>
      <c r="Q26" s="82">
        <v>150</v>
      </c>
      <c r="S26" s="32">
        <f t="shared" si="74"/>
        <v>479</v>
      </c>
      <c r="T26" s="32">
        <f t="shared" si="75"/>
        <v>479</v>
      </c>
      <c r="U26" s="32">
        <f t="shared" si="76"/>
        <v>293</v>
      </c>
      <c r="V26" s="32">
        <f t="shared" si="77"/>
        <v>331</v>
      </c>
      <c r="W26" s="32">
        <f t="shared" si="78"/>
        <v>376</v>
      </c>
      <c r="X26" s="32">
        <f t="shared" si="79"/>
        <v>392</v>
      </c>
      <c r="Y26" s="32">
        <f t="shared" si="80"/>
        <v>539</v>
      </c>
      <c r="Z26" s="32">
        <f t="shared" si="81"/>
        <v>568</v>
      </c>
      <c r="AA26" s="11"/>
      <c r="AB26" s="75"/>
    </row>
    <row r="27" spans="2:28" ht="12.75" customHeight="1">
      <c r="B27" s="25" t="s">
        <v>155</v>
      </c>
      <c r="C27" s="26">
        <f t="shared" ref="C27:D27" si="82">SUM(C20+SUM(C23:C26))</f>
        <v>8306</v>
      </c>
      <c r="D27" s="26">
        <f t="shared" si="82"/>
        <v>6664</v>
      </c>
      <c r="E27" s="26">
        <f>SUM(E20+SUM(E23:E26))</f>
        <v>7013</v>
      </c>
      <c r="G27" s="26">
        <f t="shared" ref="G27:Q27" si="83">SUM(G20+SUM(G23:G26))</f>
        <v>1562</v>
      </c>
      <c r="H27" s="26">
        <f t="shared" si="83"/>
        <v>1636</v>
      </c>
      <c r="I27" s="26">
        <f t="shared" si="83"/>
        <v>1671</v>
      </c>
      <c r="J27" s="26">
        <f t="shared" si="83"/>
        <v>1795</v>
      </c>
      <c r="K27" s="26">
        <f t="shared" si="83"/>
        <v>1436</v>
      </c>
      <c r="L27" s="26">
        <f t="shared" si="83"/>
        <v>1607</v>
      </c>
      <c r="M27" s="26">
        <f t="shared" si="83"/>
        <v>1940</v>
      </c>
      <c r="N27" s="26">
        <f t="shared" si="83"/>
        <v>2030</v>
      </c>
      <c r="O27" s="26">
        <f t="shared" si="83"/>
        <v>1778</v>
      </c>
      <c r="P27" s="26">
        <f t="shared" si="83"/>
        <v>2150</v>
      </c>
      <c r="Q27" s="26">
        <f t="shared" si="83"/>
        <v>2180</v>
      </c>
      <c r="S27" s="26">
        <f t="shared" ref="S27" si="84">SUM(S20+SUM(S23:S26))</f>
        <v>6664</v>
      </c>
      <c r="T27" s="26">
        <f t="shared" ref="T27" si="85">SUM(T20+SUM(T23:T26))</f>
        <v>6538</v>
      </c>
      <c r="U27" s="26">
        <f t="shared" ref="U27" si="86">SUM(U20+SUM(U23:U26))</f>
        <v>6509</v>
      </c>
      <c r="V27" s="26">
        <f t="shared" ref="V27" si="87">SUM(V20+SUM(V23:V26))</f>
        <v>6778</v>
      </c>
      <c r="W27" s="26">
        <f t="shared" ref="W27" si="88">SUM(W20+SUM(W23:W26))</f>
        <v>7013</v>
      </c>
      <c r="X27" s="26">
        <f t="shared" ref="X27" si="89">SUM(X20+SUM(X23:X26))</f>
        <v>7355</v>
      </c>
      <c r="Y27" s="26">
        <f t="shared" ref="Y27" si="90">SUM(Y20+SUM(Y23:Y26))</f>
        <v>7898</v>
      </c>
      <c r="Z27" s="26">
        <f t="shared" ref="Z27" si="91">SUM(Z20+SUM(Z23:Z26))</f>
        <v>8138</v>
      </c>
      <c r="AA27" s="42"/>
      <c r="AB27" s="76">
        <f>SUM(Z27/V27)-1</f>
        <v>0.20064915904396585</v>
      </c>
    </row>
    <row r="28" spans="2:28" ht="12.75" customHeight="1">
      <c r="B28" s="16" t="s">
        <v>156</v>
      </c>
      <c r="C28" s="17">
        <f>C27/C11</f>
        <v>0.19027329164089524</v>
      </c>
      <c r="D28" s="17">
        <f>D27/D11</f>
        <v>0.16614724874716397</v>
      </c>
      <c r="E28" s="17">
        <f>E27/E11</f>
        <v>0.16717520858164481</v>
      </c>
      <c r="F28" s="27"/>
      <c r="G28" s="17">
        <f>G27/G11</f>
        <v>0.16025443726274752</v>
      </c>
      <c r="H28" s="17">
        <f>H27/H11</f>
        <v>0.16396071356985367</v>
      </c>
      <c r="I28" s="17">
        <f>I27/I11</f>
        <v>0.16474415853297841</v>
      </c>
      <c r="J28" s="17">
        <f>J27/J11</f>
        <v>0.1752758519675813</v>
      </c>
      <c r="K28" s="17">
        <f>K27/K11</f>
        <v>0.14411882778000804</v>
      </c>
      <c r="L28" s="17">
        <f>L27/L11</f>
        <v>0.15486171340464489</v>
      </c>
      <c r="M28" s="17">
        <f>M27/M11</f>
        <v>0.18241654913023037</v>
      </c>
      <c r="N28" s="17">
        <f>N27/N11</f>
        <v>0.18498268634955348</v>
      </c>
      <c r="O28" s="17">
        <f>O27/O11</f>
        <v>0.17165475960610158</v>
      </c>
      <c r="P28" s="17">
        <f>P27/P11</f>
        <v>0.19296356129958714</v>
      </c>
      <c r="Q28" s="17">
        <f>Q27/Q11</f>
        <v>0.19174949423871931</v>
      </c>
      <c r="R28" s="28"/>
      <c r="S28" s="17">
        <f>S27/S11</f>
        <v>0.16614724874716397</v>
      </c>
      <c r="T28" s="17">
        <f>T27/T11</f>
        <v>0.16212865149035363</v>
      </c>
      <c r="U28" s="17">
        <f>U27/U11</f>
        <v>0.15982811540822592</v>
      </c>
      <c r="V28" s="17">
        <f>V27/V11</f>
        <v>0.16444670888225732</v>
      </c>
      <c r="W28" s="17">
        <f>W27/W11</f>
        <v>0.16717520858164481</v>
      </c>
      <c r="X28" s="17">
        <f>X27/X11</f>
        <v>0.17369639146041943</v>
      </c>
      <c r="Y28" s="17">
        <f>Y27/Y11</f>
        <v>0.18321000255167136</v>
      </c>
      <c r="Z28" s="17">
        <f>Z27/Z11</f>
        <v>0.18561686016011678</v>
      </c>
      <c r="AA28" s="43"/>
      <c r="AB28" s="77">
        <f>SUM(Z28-V28)*1000</f>
        <v>21.170151277859457</v>
      </c>
    </row>
    <row r="29" spans="2:28" ht="5.0999999999999996" customHeight="1">
      <c r="B29" s="16"/>
      <c r="C29" s="17"/>
      <c r="D29" s="17"/>
      <c r="E29" s="17"/>
      <c r="F29" s="2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28"/>
      <c r="S29" s="17"/>
      <c r="T29" s="17"/>
      <c r="U29" s="17"/>
      <c r="V29" s="17"/>
      <c r="W29" s="17"/>
      <c r="X29" s="17"/>
      <c r="Y29" s="17"/>
      <c r="Z29" s="17"/>
      <c r="AA29" s="43"/>
      <c r="AB29" s="77"/>
    </row>
    <row r="30" spans="2:28" ht="12.75" customHeight="1">
      <c r="B30" s="9" t="s">
        <v>104</v>
      </c>
      <c r="C30" s="82">
        <v>-1373</v>
      </c>
      <c r="D30" s="82">
        <v>-941</v>
      </c>
      <c r="E30" s="82">
        <v>6389</v>
      </c>
      <c r="F30" s="32"/>
      <c r="G30" s="82">
        <v>-244</v>
      </c>
      <c r="H30" s="82">
        <v>-261</v>
      </c>
      <c r="I30" s="82">
        <v>-235</v>
      </c>
      <c r="J30" s="32">
        <f t="shared" ref="J30" si="92">SUM(D30-SUM(G30:I30))</f>
        <v>-201</v>
      </c>
      <c r="K30" s="82">
        <v>-211</v>
      </c>
      <c r="L30" s="82">
        <v>-305</v>
      </c>
      <c r="M30" s="82">
        <v>-294</v>
      </c>
      <c r="N30" s="32">
        <f t="shared" ref="N30" si="93">SUM(E30-SUM(K30:M30))</f>
        <v>7199</v>
      </c>
      <c r="O30" s="82">
        <v>-453</v>
      </c>
      <c r="P30" s="82">
        <v>-371</v>
      </c>
      <c r="Q30" s="82">
        <v>-536</v>
      </c>
      <c r="S30" s="32">
        <f>SUM(G30:J30)</f>
        <v>-941</v>
      </c>
      <c r="T30" s="32">
        <f>SUM(H30:K30)</f>
        <v>-908</v>
      </c>
      <c r="U30" s="32">
        <f>SUM(I30:L30)</f>
        <v>-952</v>
      </c>
      <c r="V30" s="32">
        <f>SUM(J30:M30)</f>
        <v>-1011</v>
      </c>
      <c r="W30" s="32">
        <f>SUM(K30:N30)</f>
        <v>6389</v>
      </c>
      <c r="X30" s="32">
        <f>SUM(L30:O30)</f>
        <v>6147</v>
      </c>
      <c r="Y30" s="32">
        <f>SUM(M30:P30)</f>
        <v>6081</v>
      </c>
      <c r="Z30" s="32">
        <f>SUM(N30:Q30)</f>
        <v>5839</v>
      </c>
      <c r="AA30" s="11"/>
      <c r="AB30" s="75">
        <f>SUM(Z30/V30)-1</f>
        <v>-6.7754698318496542</v>
      </c>
    </row>
    <row r="31" spans="2:28" ht="12.75" customHeight="1">
      <c r="B31" s="13" t="s">
        <v>105</v>
      </c>
      <c r="C31" s="14">
        <f t="shared" ref="C31:E31" si="94">SUM(C27+SUM(C30:C30))</f>
        <v>6933</v>
      </c>
      <c r="D31" s="14">
        <f t="shared" si="94"/>
        <v>5723</v>
      </c>
      <c r="E31" s="14">
        <f t="shared" si="94"/>
        <v>13402</v>
      </c>
      <c r="F31" s="11"/>
      <c r="G31" s="14">
        <f t="shared" ref="G31:Q31" si="95">SUM(G27+SUM(G30:G30))</f>
        <v>1318</v>
      </c>
      <c r="H31" s="14">
        <f t="shared" si="95"/>
        <v>1375</v>
      </c>
      <c r="I31" s="14">
        <f t="shared" si="95"/>
        <v>1436</v>
      </c>
      <c r="J31" s="14">
        <f t="shared" si="95"/>
        <v>1594</v>
      </c>
      <c r="K31" s="14">
        <f t="shared" si="95"/>
        <v>1225</v>
      </c>
      <c r="L31" s="14">
        <f t="shared" si="95"/>
        <v>1302</v>
      </c>
      <c r="M31" s="14">
        <f t="shared" si="95"/>
        <v>1646</v>
      </c>
      <c r="N31" s="14">
        <f t="shared" si="95"/>
        <v>9229</v>
      </c>
      <c r="O31" s="14">
        <f t="shared" si="95"/>
        <v>1325</v>
      </c>
      <c r="P31" s="14">
        <f t="shared" si="95"/>
        <v>1779</v>
      </c>
      <c r="Q31" s="14">
        <f t="shared" si="95"/>
        <v>1644</v>
      </c>
      <c r="R31" s="32"/>
      <c r="S31" s="14">
        <f t="shared" ref="S31:Z31" si="96">SUM(S27+SUM(S30:S30))</f>
        <v>5723</v>
      </c>
      <c r="T31" s="14">
        <f t="shared" si="96"/>
        <v>5630</v>
      </c>
      <c r="U31" s="14">
        <f t="shared" si="96"/>
        <v>5557</v>
      </c>
      <c r="V31" s="14">
        <f t="shared" si="96"/>
        <v>5767</v>
      </c>
      <c r="W31" s="14">
        <f t="shared" si="96"/>
        <v>13402</v>
      </c>
      <c r="X31" s="14">
        <f t="shared" si="96"/>
        <v>13502</v>
      </c>
      <c r="Y31" s="14">
        <f t="shared" si="96"/>
        <v>13979</v>
      </c>
      <c r="Z31" s="14">
        <f t="shared" si="96"/>
        <v>13977</v>
      </c>
      <c r="AA31" s="36"/>
      <c r="AB31" s="76">
        <f>SUM(Z31/V31)-1</f>
        <v>1.4236171319576902</v>
      </c>
    </row>
    <row r="32" spans="2:28" ht="12.75" customHeight="1">
      <c r="B32" s="16" t="s">
        <v>103</v>
      </c>
      <c r="C32" s="17">
        <f>C31/C11</f>
        <v>0.15882069960827436</v>
      </c>
      <c r="D32" s="17">
        <f>D31/D11</f>
        <v>0.14268618015906653</v>
      </c>
      <c r="E32" s="17">
        <f>E31/E11</f>
        <v>0.3194755661501788</v>
      </c>
      <c r="F32" s="27"/>
      <c r="G32" s="17">
        <f>G31/G11</f>
        <v>0.13522109366984714</v>
      </c>
      <c r="H32" s="17">
        <f>H31/H11</f>
        <v>0.13780316696732811</v>
      </c>
      <c r="I32" s="17">
        <f>I31/I11</f>
        <v>0.14157547076801735</v>
      </c>
      <c r="J32" s="17">
        <f>J31/J11</f>
        <v>0.15564886241577972</v>
      </c>
      <c r="K32" s="17">
        <f>K31/K11</f>
        <v>0.12294259333600964</v>
      </c>
      <c r="L32" s="17">
        <f>L31/L11</f>
        <v>0.12546978895634575</v>
      </c>
      <c r="M32" s="17">
        <f>M31/M11</f>
        <v>0.15477197931358722</v>
      </c>
      <c r="N32" s="17">
        <f>N31/N11</f>
        <v>0.84098778932021145</v>
      </c>
      <c r="O32" s="17">
        <f>O31/O11</f>
        <v>0.1279204479629272</v>
      </c>
      <c r="P32" s="17">
        <f>P31/P11</f>
        <v>0.1596661281637049</v>
      </c>
      <c r="Q32" s="17">
        <f>Q31/Q11</f>
        <v>0.14460374703140119</v>
      </c>
      <c r="R32" s="28"/>
      <c r="S32" s="17">
        <f>S31/S11</f>
        <v>0.14268618015906653</v>
      </c>
      <c r="T32" s="17">
        <f>T31/T11</f>
        <v>0.13961216088875664</v>
      </c>
      <c r="U32" s="17">
        <f>U31/U11</f>
        <v>0.13645181092694905</v>
      </c>
      <c r="V32" s="17">
        <f>V31/V11</f>
        <v>0.13991799500206226</v>
      </c>
      <c r="W32" s="17">
        <f>W31/W11</f>
        <v>0.3194755661501788</v>
      </c>
      <c r="X32" s="17">
        <f>X31/X11</f>
        <v>0.31886453806914794</v>
      </c>
      <c r="Y32" s="17">
        <f>Y31/Y11</f>
        <v>0.32427103389083484</v>
      </c>
      <c r="Z32" s="17">
        <f>Z31/Z11</f>
        <v>0.31879661519512809</v>
      </c>
      <c r="AA32" s="43"/>
      <c r="AB32" s="77">
        <f>SUM(Z32-V32)*1000</f>
        <v>178.87862019306584</v>
      </c>
    </row>
    <row r="33" spans="1:28" ht="5.0999999999999996" customHeight="1">
      <c r="B33" s="16"/>
      <c r="C33" s="17"/>
      <c r="D33" s="17"/>
      <c r="E33" s="17"/>
      <c r="F33" s="2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28"/>
      <c r="S33" s="17"/>
      <c r="T33" s="17"/>
      <c r="U33" s="17"/>
      <c r="V33" s="17"/>
      <c r="W33" s="17"/>
      <c r="X33" s="17"/>
      <c r="Y33" s="17"/>
      <c r="Z33" s="17"/>
      <c r="AA33" s="43"/>
      <c r="AB33" s="77"/>
    </row>
    <row r="34" spans="1:28" ht="12.75" customHeight="1">
      <c r="B34" s="44" t="s">
        <v>84</v>
      </c>
      <c r="C34" s="82"/>
      <c r="D34" s="82"/>
      <c r="E34" s="82"/>
      <c r="F34" s="27"/>
      <c r="G34" s="82"/>
      <c r="H34" s="82"/>
      <c r="I34" s="82"/>
      <c r="J34" s="32">
        <f>D34</f>
        <v>0</v>
      </c>
      <c r="K34" s="82"/>
      <c r="L34" s="82"/>
      <c r="M34" s="82"/>
      <c r="N34" s="32">
        <f>E34</f>
        <v>0</v>
      </c>
      <c r="O34" s="82"/>
      <c r="P34" s="82"/>
      <c r="Q34" s="82"/>
      <c r="R34" s="132"/>
      <c r="S34" s="32">
        <f>J34</f>
        <v>0</v>
      </c>
      <c r="T34" s="32">
        <f>K34</f>
        <v>0</v>
      </c>
      <c r="U34" s="32">
        <f>L34</f>
        <v>0</v>
      </c>
      <c r="V34" s="32">
        <f>M34</f>
        <v>0</v>
      </c>
      <c r="W34" s="32">
        <f>N34</f>
        <v>0</v>
      </c>
      <c r="X34" s="32">
        <f>O34</f>
        <v>0</v>
      </c>
      <c r="Y34" s="32">
        <f>P34</f>
        <v>0</v>
      </c>
      <c r="Z34" s="32">
        <f>Q34</f>
        <v>0</v>
      </c>
      <c r="AA34" s="43"/>
      <c r="AB34" s="75" t="e">
        <f>SUM(Z34/V34)-1</f>
        <v>#DIV/0!</v>
      </c>
    </row>
    <row r="35" spans="1:28" ht="12.75" customHeight="1">
      <c r="B35" s="13" t="s">
        <v>62</v>
      </c>
      <c r="C35" s="144" t="e">
        <f t="shared" ref="C35:E35" si="97">C31/C34</f>
        <v>#DIV/0!</v>
      </c>
      <c r="D35" s="144" t="e">
        <f t="shared" si="97"/>
        <v>#DIV/0!</v>
      </c>
      <c r="E35" s="144" t="e">
        <f t="shared" si="97"/>
        <v>#DIV/0!</v>
      </c>
      <c r="F35" s="27"/>
      <c r="G35" s="144" t="e">
        <f t="shared" ref="G35:Q35" si="98">G31/G34</f>
        <v>#DIV/0!</v>
      </c>
      <c r="H35" s="144" t="e">
        <f t="shared" si="98"/>
        <v>#DIV/0!</v>
      </c>
      <c r="I35" s="144" t="e">
        <f t="shared" si="98"/>
        <v>#DIV/0!</v>
      </c>
      <c r="J35" s="144" t="e">
        <f t="shared" si="98"/>
        <v>#DIV/0!</v>
      </c>
      <c r="K35" s="144" t="e">
        <f t="shared" si="98"/>
        <v>#DIV/0!</v>
      </c>
      <c r="L35" s="144" t="e">
        <f t="shared" si="98"/>
        <v>#DIV/0!</v>
      </c>
      <c r="M35" s="144" t="e">
        <f t="shared" si="98"/>
        <v>#DIV/0!</v>
      </c>
      <c r="N35" s="144" t="e">
        <f t="shared" si="98"/>
        <v>#DIV/0!</v>
      </c>
      <c r="O35" s="144" t="e">
        <f t="shared" si="98"/>
        <v>#DIV/0!</v>
      </c>
      <c r="P35" s="144" t="e">
        <f t="shared" si="98"/>
        <v>#DIV/0!</v>
      </c>
      <c r="Q35" s="144" t="e">
        <f t="shared" si="98"/>
        <v>#DIV/0!</v>
      </c>
      <c r="R35" s="132"/>
      <c r="S35" s="144" t="e">
        <f t="shared" ref="S35:Z35" si="99">S31/S34</f>
        <v>#DIV/0!</v>
      </c>
      <c r="T35" s="144" t="e">
        <f t="shared" si="99"/>
        <v>#DIV/0!</v>
      </c>
      <c r="U35" s="144" t="e">
        <f t="shared" si="99"/>
        <v>#DIV/0!</v>
      </c>
      <c r="V35" s="144" t="e">
        <f t="shared" si="99"/>
        <v>#DIV/0!</v>
      </c>
      <c r="W35" s="144" t="e">
        <f t="shared" si="99"/>
        <v>#DIV/0!</v>
      </c>
      <c r="X35" s="144" t="e">
        <f t="shared" si="99"/>
        <v>#DIV/0!</v>
      </c>
      <c r="Y35" s="144" t="e">
        <f t="shared" si="99"/>
        <v>#DIV/0!</v>
      </c>
      <c r="Z35" s="144" t="e">
        <f t="shared" si="99"/>
        <v>#DIV/0!</v>
      </c>
      <c r="AA35" s="43"/>
      <c r="AB35" s="76" t="e">
        <f>SUM(Z35/V35)-1</f>
        <v>#DIV/0!</v>
      </c>
    </row>
    <row r="36" spans="1:28" ht="12.75" customHeight="1">
      <c r="B36" s="25"/>
      <c r="C36" s="48"/>
      <c r="D36" s="48"/>
      <c r="E36" s="48"/>
      <c r="F36" s="143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132"/>
      <c r="S36" s="132"/>
      <c r="T36" s="132"/>
      <c r="U36" s="132"/>
      <c r="V36" s="48"/>
      <c r="W36" s="132"/>
      <c r="X36" s="132"/>
      <c r="Y36" s="132"/>
      <c r="Z36" s="132"/>
      <c r="AA36" s="43"/>
      <c r="AB36" s="75"/>
    </row>
    <row r="37" spans="1:28" ht="12.75" customHeight="1">
      <c r="B37" s="44" t="s">
        <v>63</v>
      </c>
      <c r="C37" s="82"/>
      <c r="D37" s="82"/>
      <c r="E37" s="82"/>
      <c r="F37" s="143"/>
      <c r="G37" s="82"/>
      <c r="H37" s="82"/>
      <c r="I37" s="82"/>
      <c r="J37" s="32">
        <f>D37</f>
        <v>0</v>
      </c>
      <c r="K37" s="82"/>
      <c r="L37" s="82"/>
      <c r="M37" s="82"/>
      <c r="N37" s="32">
        <f>E37</f>
        <v>0</v>
      </c>
      <c r="O37" s="82"/>
      <c r="P37" s="82"/>
      <c r="Q37" s="82"/>
      <c r="R37" s="132"/>
      <c r="S37" s="32">
        <f>J37</f>
        <v>0</v>
      </c>
      <c r="T37" s="32">
        <f>K37</f>
        <v>0</v>
      </c>
      <c r="U37" s="32">
        <f>L37</f>
        <v>0</v>
      </c>
      <c r="V37" s="32">
        <f>M37</f>
        <v>0</v>
      </c>
      <c r="W37" s="32">
        <f>N37</f>
        <v>0</v>
      </c>
      <c r="X37" s="32">
        <f>O37</f>
        <v>0</v>
      </c>
      <c r="Y37" s="32">
        <f>P37</f>
        <v>0</v>
      </c>
      <c r="Z37" s="32">
        <f>Q37</f>
        <v>0</v>
      </c>
      <c r="AA37" s="43"/>
      <c r="AB37" s="75" t="e">
        <f>SUM(Z37/V37)-1</f>
        <v>#DIV/0!</v>
      </c>
    </row>
    <row r="38" spans="1:28" ht="12.75" customHeight="1">
      <c r="B38" s="13" t="s">
        <v>83</v>
      </c>
      <c r="C38" s="144" t="e">
        <f t="shared" ref="C38:E38" si="100">C31/C37</f>
        <v>#DIV/0!</v>
      </c>
      <c r="D38" s="144" t="e">
        <f t="shared" si="100"/>
        <v>#DIV/0!</v>
      </c>
      <c r="E38" s="144" t="e">
        <f t="shared" si="100"/>
        <v>#DIV/0!</v>
      </c>
      <c r="F38" s="27"/>
      <c r="G38" s="144" t="e">
        <f t="shared" ref="G38:Q38" si="101">G31/G37</f>
        <v>#DIV/0!</v>
      </c>
      <c r="H38" s="144" t="e">
        <f t="shared" si="101"/>
        <v>#DIV/0!</v>
      </c>
      <c r="I38" s="144" t="e">
        <f t="shared" si="101"/>
        <v>#DIV/0!</v>
      </c>
      <c r="J38" s="144" t="e">
        <f t="shared" si="101"/>
        <v>#DIV/0!</v>
      </c>
      <c r="K38" s="144" t="e">
        <f t="shared" si="101"/>
        <v>#DIV/0!</v>
      </c>
      <c r="L38" s="144" t="e">
        <f t="shared" si="101"/>
        <v>#DIV/0!</v>
      </c>
      <c r="M38" s="144" t="e">
        <f t="shared" si="101"/>
        <v>#DIV/0!</v>
      </c>
      <c r="N38" s="144" t="e">
        <f t="shared" si="101"/>
        <v>#DIV/0!</v>
      </c>
      <c r="O38" s="144" t="e">
        <f t="shared" si="101"/>
        <v>#DIV/0!</v>
      </c>
      <c r="P38" s="144" t="e">
        <f t="shared" si="101"/>
        <v>#DIV/0!</v>
      </c>
      <c r="Q38" s="144" t="e">
        <f t="shared" si="101"/>
        <v>#DIV/0!</v>
      </c>
      <c r="R38" s="132"/>
      <c r="S38" s="144" t="e">
        <f t="shared" ref="S38:Z38" si="102">S31/S37</f>
        <v>#DIV/0!</v>
      </c>
      <c r="T38" s="144" t="e">
        <f t="shared" si="102"/>
        <v>#DIV/0!</v>
      </c>
      <c r="U38" s="144" t="e">
        <f t="shared" si="102"/>
        <v>#DIV/0!</v>
      </c>
      <c r="V38" s="144" t="e">
        <f t="shared" si="102"/>
        <v>#DIV/0!</v>
      </c>
      <c r="W38" s="144" t="e">
        <f t="shared" si="102"/>
        <v>#DIV/0!</v>
      </c>
      <c r="X38" s="144" t="e">
        <f t="shared" si="102"/>
        <v>#DIV/0!</v>
      </c>
      <c r="Y38" s="144" t="e">
        <f t="shared" si="102"/>
        <v>#DIV/0!</v>
      </c>
      <c r="Z38" s="144" t="e">
        <f t="shared" si="102"/>
        <v>#DIV/0!</v>
      </c>
      <c r="AA38" s="43"/>
      <c r="AB38" s="76" t="e">
        <f>SUM(Z38/V38)-1</f>
        <v>#DIV/0!</v>
      </c>
    </row>
    <row r="39" spans="1:28">
      <c r="B39" s="16"/>
      <c r="C39" s="17"/>
      <c r="D39" s="17"/>
      <c r="E39" s="17"/>
      <c r="F39" s="2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28"/>
      <c r="S39" s="17"/>
      <c r="T39" s="17"/>
      <c r="U39" s="17"/>
      <c r="V39" s="17"/>
      <c r="W39" s="17"/>
      <c r="X39" s="17"/>
      <c r="Y39" s="17"/>
      <c r="Z39" s="17"/>
      <c r="AA39" s="43"/>
    </row>
    <row r="40" spans="1:28" ht="12.75" customHeight="1">
      <c r="A40" s="5" t="s">
        <v>16</v>
      </c>
      <c r="B40" s="106" t="s">
        <v>73</v>
      </c>
      <c r="C40" s="107"/>
      <c r="D40" s="107"/>
      <c r="E40" s="107"/>
      <c r="F40" s="108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6"/>
      <c r="S40" s="107"/>
      <c r="T40" s="107"/>
      <c r="U40" s="107" t="s">
        <v>10</v>
      </c>
      <c r="V40" s="107"/>
      <c r="W40" s="107"/>
      <c r="X40" s="107"/>
      <c r="Y40" s="107"/>
      <c r="Z40" s="107"/>
      <c r="AA40" s="108"/>
      <c r="AB40" s="163" t="s">
        <v>22</v>
      </c>
    </row>
    <row r="41" spans="1:28" ht="12.75" customHeight="1">
      <c r="B41" s="110" t="str">
        <f>B7</f>
        <v>Fiscal Period</v>
      </c>
      <c r="C41" s="109">
        <f>C7</f>
        <v>2022</v>
      </c>
      <c r="D41" s="109">
        <f>D7</f>
        <v>2023</v>
      </c>
      <c r="E41" s="109">
        <f>E7</f>
        <v>2024</v>
      </c>
      <c r="F41" s="108"/>
      <c r="G41" s="109" t="str">
        <f>G7</f>
        <v>1Q23</v>
      </c>
      <c r="H41" s="109" t="str">
        <f>H7</f>
        <v>2Q23</v>
      </c>
      <c r="I41" s="109" t="str">
        <f>I7</f>
        <v>3Q23</v>
      </c>
      <c r="J41" s="109" t="str">
        <f>J7</f>
        <v>4Q23</v>
      </c>
      <c r="K41" s="109" t="str">
        <f>K7</f>
        <v>1Q24</v>
      </c>
      <c r="L41" s="109" t="str">
        <f>L7</f>
        <v>2Q24</v>
      </c>
      <c r="M41" s="109" t="str">
        <f>M7</f>
        <v>3Q24</v>
      </c>
      <c r="N41" s="109" t="str">
        <f>N7</f>
        <v>4Q24</v>
      </c>
      <c r="O41" s="109" t="str">
        <f>O7</f>
        <v>1Q25</v>
      </c>
      <c r="P41" s="109" t="str">
        <f>P7</f>
        <v>2Q25</v>
      </c>
      <c r="Q41" s="109" t="str">
        <f>Q7</f>
        <v>3Q25</v>
      </c>
      <c r="R41" s="111"/>
      <c r="S41" s="109" t="str">
        <f>S7</f>
        <v>4Q23</v>
      </c>
      <c r="T41" s="109" t="str">
        <f>T7</f>
        <v>1Q24</v>
      </c>
      <c r="U41" s="109" t="str">
        <f>U7</f>
        <v>2Q24</v>
      </c>
      <c r="V41" s="109" t="str">
        <f>V7</f>
        <v>3Q24</v>
      </c>
      <c r="W41" s="109" t="str">
        <f>W7</f>
        <v>4Q24</v>
      </c>
      <c r="X41" s="109" t="str">
        <f>X7</f>
        <v>1Q25</v>
      </c>
      <c r="Y41" s="109" t="str">
        <f>Y7</f>
        <v>2Q25</v>
      </c>
      <c r="Z41" s="109" t="str">
        <f>Z7</f>
        <v>3Q25</v>
      </c>
      <c r="AA41" s="108"/>
      <c r="AB41" s="163"/>
    </row>
    <row r="42" spans="1:28" ht="12.75" customHeight="1">
      <c r="B42" s="110" t="str">
        <f>B8</f>
        <v>Fiscal Period End Date</v>
      </c>
      <c r="C42" s="112">
        <f>C8</f>
        <v>0</v>
      </c>
      <c r="D42" s="112">
        <f>D8</f>
        <v>0</v>
      </c>
      <c r="E42" s="112">
        <f>E8</f>
        <v>0</v>
      </c>
      <c r="F42" s="108"/>
      <c r="G42" s="112">
        <f>G8</f>
        <v>0</v>
      </c>
      <c r="H42" s="112">
        <f>H8</f>
        <v>0</v>
      </c>
      <c r="I42" s="112">
        <f>I8</f>
        <v>0</v>
      </c>
      <c r="J42" s="112">
        <f>J8</f>
        <v>0</v>
      </c>
      <c r="K42" s="112">
        <f>K8</f>
        <v>0</v>
      </c>
      <c r="L42" s="112">
        <f>L8</f>
        <v>0</v>
      </c>
      <c r="M42" s="112">
        <f>M8</f>
        <v>0</v>
      </c>
      <c r="N42" s="112">
        <f>N8</f>
        <v>0</v>
      </c>
      <c r="O42" s="112">
        <f>O8</f>
        <v>0</v>
      </c>
      <c r="P42" s="112">
        <f>P8</f>
        <v>0</v>
      </c>
      <c r="Q42" s="112">
        <f>Q8</f>
        <v>0</v>
      </c>
      <c r="R42" s="113"/>
      <c r="S42" s="112">
        <f>S8</f>
        <v>0</v>
      </c>
      <c r="T42" s="112">
        <f>T8</f>
        <v>0</v>
      </c>
      <c r="U42" s="112">
        <f>U8</f>
        <v>0</v>
      </c>
      <c r="V42" s="112">
        <f>V8</f>
        <v>0</v>
      </c>
      <c r="W42" s="112">
        <f>W8</f>
        <v>0</v>
      </c>
      <c r="X42" s="112">
        <f>X8</f>
        <v>0</v>
      </c>
      <c r="Y42" s="112">
        <f>Y8</f>
        <v>0</v>
      </c>
      <c r="Z42" s="112">
        <f>Z8</f>
        <v>0</v>
      </c>
      <c r="AA42" s="108"/>
      <c r="AB42" s="163"/>
    </row>
    <row r="43" spans="1:28" ht="5.0999999999999996" customHeight="1">
      <c r="B43" s="46"/>
      <c r="C43" s="47"/>
      <c r="D43" s="47"/>
      <c r="E43" s="47"/>
    </row>
    <row r="44" spans="1:28">
      <c r="B44" s="78" t="s">
        <v>78</v>
      </c>
      <c r="C44" s="47"/>
      <c r="D44" s="47"/>
      <c r="E44" s="47"/>
    </row>
    <row r="45" spans="1:28" s="122" customFormat="1" ht="12.75" customHeight="1">
      <c r="B45" s="114" t="s">
        <v>168</v>
      </c>
      <c r="C45" s="123">
        <v>9882</v>
      </c>
      <c r="D45" s="123">
        <v>6896</v>
      </c>
      <c r="E45" s="123">
        <v>7616</v>
      </c>
      <c r="G45" s="82">
        <v>9161</v>
      </c>
      <c r="H45" s="82">
        <v>7835</v>
      </c>
      <c r="I45" s="82">
        <v>6709</v>
      </c>
      <c r="J45" s="32">
        <f t="shared" ref="J45:J49" si="103">D45</f>
        <v>6896</v>
      </c>
      <c r="K45" s="82">
        <v>6284</v>
      </c>
      <c r="L45" s="82">
        <v>6987</v>
      </c>
      <c r="M45" s="82">
        <v>7558</v>
      </c>
      <c r="N45" s="32">
        <f t="shared" ref="N45:N49" si="104">E45</f>
        <v>7616</v>
      </c>
      <c r="O45" s="82">
        <v>6532</v>
      </c>
      <c r="P45" s="82">
        <v>6951</v>
      </c>
      <c r="Q45" s="82">
        <v>7511</v>
      </c>
      <c r="S45" s="96">
        <f>J45</f>
        <v>6896</v>
      </c>
      <c r="T45" s="96">
        <f>K45</f>
        <v>6284</v>
      </c>
      <c r="U45" s="96">
        <f>L45</f>
        <v>6987</v>
      </c>
      <c r="V45" s="96">
        <f>M45</f>
        <v>7558</v>
      </c>
      <c r="W45" s="96">
        <f>N45</f>
        <v>7616</v>
      </c>
      <c r="X45" s="96">
        <f>O45</f>
        <v>6532</v>
      </c>
      <c r="Y45" s="96">
        <f>P45</f>
        <v>6951</v>
      </c>
      <c r="Z45" s="96">
        <f>Q45</f>
        <v>7511</v>
      </c>
      <c r="AA45" s="124"/>
      <c r="AB45" s="75">
        <f>SUM(Z45/V45)-1</f>
        <v>-6.218576342947868E-3</v>
      </c>
    </row>
    <row r="46" spans="1:28" s="122" customFormat="1" ht="12.75" customHeight="1">
      <c r="B46" s="114" t="s">
        <v>161</v>
      </c>
      <c r="C46" s="123">
        <v>288</v>
      </c>
      <c r="D46" s="123">
        <v>383</v>
      </c>
      <c r="E46" s="123">
        <v>351</v>
      </c>
      <c r="G46" s="82">
        <v>371</v>
      </c>
      <c r="H46" s="82">
        <v>320</v>
      </c>
      <c r="I46" s="82">
        <v>338</v>
      </c>
      <c r="J46" s="32">
        <f t="shared" si="103"/>
        <v>383</v>
      </c>
      <c r="K46" s="82">
        <v>367</v>
      </c>
      <c r="L46" s="82">
        <v>232</v>
      </c>
      <c r="M46" s="82">
        <v>230</v>
      </c>
      <c r="N46" s="32">
        <f t="shared" si="104"/>
        <v>351</v>
      </c>
      <c r="O46" s="82">
        <v>312</v>
      </c>
      <c r="P46" s="82">
        <v>331</v>
      </c>
      <c r="Q46" s="82">
        <v>222</v>
      </c>
      <c r="S46" s="96">
        <f>J46</f>
        <v>383</v>
      </c>
      <c r="T46" s="96">
        <f>K46</f>
        <v>367</v>
      </c>
      <c r="U46" s="96">
        <f>L46</f>
        <v>232</v>
      </c>
      <c r="V46" s="96">
        <f>M46</f>
        <v>230</v>
      </c>
      <c r="W46" s="96">
        <f>N46</f>
        <v>351</v>
      </c>
      <c r="X46" s="96">
        <f>O46</f>
        <v>312</v>
      </c>
      <c r="Y46" s="96">
        <f>P46</f>
        <v>331</v>
      </c>
      <c r="Z46" s="96">
        <f>Q46</f>
        <v>222</v>
      </c>
      <c r="AA46" s="124"/>
      <c r="AB46" s="75">
        <f t="shared" ref="AB46" si="105">SUM(Z46/V46)-1</f>
        <v>-3.4782608695652195E-2</v>
      </c>
    </row>
    <row r="47" spans="1:28" s="122" customFormat="1" ht="12.75" customHeight="1">
      <c r="B47" s="114" t="s">
        <v>169</v>
      </c>
      <c r="C47" s="123">
        <v>6218</v>
      </c>
      <c r="D47" s="123">
        <v>6565</v>
      </c>
      <c r="E47" s="123">
        <v>6925</v>
      </c>
      <c r="G47" s="82">
        <v>6020</v>
      </c>
      <c r="H47" s="82">
        <v>6172</v>
      </c>
      <c r="I47" s="82">
        <v>6499</v>
      </c>
      <c r="J47" s="32">
        <f t="shared" si="103"/>
        <v>6565</v>
      </c>
      <c r="K47" s="82">
        <v>6605</v>
      </c>
      <c r="L47" s="82">
        <v>6854</v>
      </c>
      <c r="M47" s="82">
        <v>7051</v>
      </c>
      <c r="N47" s="32">
        <f t="shared" si="104"/>
        <v>6925</v>
      </c>
      <c r="O47" s="82">
        <v>7327</v>
      </c>
      <c r="P47" s="82">
        <v>7972</v>
      </c>
      <c r="Q47" s="82">
        <v>8138</v>
      </c>
      <c r="S47" s="96">
        <f>J47</f>
        <v>6565</v>
      </c>
      <c r="T47" s="96">
        <f>K47</f>
        <v>6605</v>
      </c>
      <c r="U47" s="96">
        <f>L47</f>
        <v>6854</v>
      </c>
      <c r="V47" s="96">
        <f>M47</f>
        <v>7051</v>
      </c>
      <c r="W47" s="96">
        <f>N47</f>
        <v>6925</v>
      </c>
      <c r="X47" s="96">
        <f>O47</f>
        <v>7327</v>
      </c>
      <c r="Y47" s="96">
        <f>P47</f>
        <v>7972</v>
      </c>
      <c r="Z47" s="96">
        <f>Q47</f>
        <v>8138</v>
      </c>
      <c r="AA47" s="124"/>
      <c r="AB47" s="75">
        <f t="shared" ref="AB47" si="106">SUM(Z47/V47)-1</f>
        <v>0.15416253013756909</v>
      </c>
    </row>
    <row r="48" spans="1:28" s="122" customFormat="1" ht="12.75" customHeight="1">
      <c r="B48" s="114" t="s">
        <v>106</v>
      </c>
      <c r="C48" s="123">
        <v>6173</v>
      </c>
      <c r="D48" s="123">
        <v>6570</v>
      </c>
      <c r="E48" s="123">
        <v>6194</v>
      </c>
      <c r="G48" s="82">
        <v>6673</v>
      </c>
      <c r="H48" s="82">
        <v>6871</v>
      </c>
      <c r="I48" s="82">
        <v>6650</v>
      </c>
      <c r="J48" s="32">
        <f t="shared" si="103"/>
        <v>6570</v>
      </c>
      <c r="K48" s="82">
        <v>6827</v>
      </c>
      <c r="L48" s="82">
        <v>6814</v>
      </c>
      <c r="M48" s="82">
        <v>6813</v>
      </c>
      <c r="N48" s="32">
        <f t="shared" si="104"/>
        <v>6194</v>
      </c>
      <c r="O48" s="82">
        <v>6639</v>
      </c>
      <c r="P48" s="82">
        <v>6954</v>
      </c>
      <c r="Q48" s="82">
        <v>6708</v>
      </c>
      <c r="S48" s="96">
        <f t="shared" ref="S48:Z48" si="107">J48</f>
        <v>6570</v>
      </c>
      <c r="T48" s="96">
        <f t="shared" si="107"/>
        <v>6827</v>
      </c>
      <c r="U48" s="96">
        <f t="shared" si="107"/>
        <v>6814</v>
      </c>
      <c r="V48" s="96">
        <f t="shared" si="107"/>
        <v>6813</v>
      </c>
      <c r="W48" s="96">
        <f t="shared" si="107"/>
        <v>6194</v>
      </c>
      <c r="X48" s="96">
        <f t="shared" si="107"/>
        <v>6639</v>
      </c>
      <c r="Y48" s="96">
        <f t="shared" si="107"/>
        <v>6954</v>
      </c>
      <c r="Z48" s="96">
        <f t="shared" si="107"/>
        <v>6708</v>
      </c>
      <c r="AA48" s="124"/>
      <c r="AB48" s="75">
        <f t="shared" ref="AB48" si="108">SUM(Z48/V48)-1</f>
        <v>-1.5411712901805319E-2</v>
      </c>
    </row>
    <row r="49" spans="2:28" s="122" customFormat="1" ht="12.75" customHeight="1">
      <c r="B49" s="114" t="s">
        <v>172</v>
      </c>
      <c r="C49" s="123">
        <v>2663</v>
      </c>
      <c r="D49" s="123">
        <v>2256</v>
      </c>
      <c r="E49" s="123">
        <v>2570</v>
      </c>
      <c r="G49" s="82">
        <v>2152</v>
      </c>
      <c r="H49" s="82">
        <v>2307</v>
      </c>
      <c r="I49" s="82">
        <v>2468</v>
      </c>
      <c r="J49" s="32">
        <f t="shared" si="103"/>
        <v>2256</v>
      </c>
      <c r="K49" s="82">
        <v>2293</v>
      </c>
      <c r="L49" s="82">
        <v>2232</v>
      </c>
      <c r="M49" s="82">
        <v>2150</v>
      </c>
      <c r="N49" s="32">
        <f t="shared" si="104"/>
        <v>2570</v>
      </c>
      <c r="O49" s="82">
        <v>2343</v>
      </c>
      <c r="P49" s="82">
        <v>2260</v>
      </c>
      <c r="Q49" s="82">
        <v>2260</v>
      </c>
      <c r="S49" s="96">
        <f>J49</f>
        <v>2256</v>
      </c>
      <c r="T49" s="96">
        <f>K49</f>
        <v>2293</v>
      </c>
      <c r="U49" s="96">
        <f>L49</f>
        <v>2232</v>
      </c>
      <c r="V49" s="96">
        <f>M49</f>
        <v>2150</v>
      </c>
      <c r="W49" s="96">
        <f>N49</f>
        <v>2570</v>
      </c>
      <c r="X49" s="96">
        <f>O49</f>
        <v>2343</v>
      </c>
      <c r="Y49" s="96">
        <f>P49</f>
        <v>2260</v>
      </c>
      <c r="Z49" s="96">
        <f>Q49</f>
        <v>2260</v>
      </c>
      <c r="AA49" s="124"/>
      <c r="AB49" s="75">
        <f t="shared" ref="AB49" si="109">SUM(Z49/V49)-1</f>
        <v>5.1162790697674376E-2</v>
      </c>
    </row>
    <row r="50" spans="2:28" ht="12.75" customHeight="1">
      <c r="B50" s="25" t="s">
        <v>18</v>
      </c>
      <c r="C50" s="26">
        <f>SUM(C45:C49)</f>
        <v>25224</v>
      </c>
      <c r="D50" s="26">
        <f>SUM(D45:D49)</f>
        <v>22670</v>
      </c>
      <c r="E50" s="26">
        <f>SUM(E45:E49)</f>
        <v>23656</v>
      </c>
      <c r="F50" s="48"/>
      <c r="G50" s="26">
        <f>SUM(G45:G49)</f>
        <v>24377</v>
      </c>
      <c r="H50" s="26">
        <f>SUM(H45:H49)</f>
        <v>23505</v>
      </c>
      <c r="I50" s="26">
        <f>SUM(I45:I49)</f>
        <v>22664</v>
      </c>
      <c r="J50" s="26">
        <f>SUM(J45:J49)</f>
        <v>22670</v>
      </c>
      <c r="K50" s="26">
        <f>SUM(K45:K49)</f>
        <v>22376</v>
      </c>
      <c r="L50" s="26">
        <f>SUM(L45:L49)</f>
        <v>23119</v>
      </c>
      <c r="M50" s="26">
        <f>SUM(M45:M49)</f>
        <v>23802</v>
      </c>
      <c r="N50" s="26">
        <f>SUM(N45:N49)</f>
        <v>23656</v>
      </c>
      <c r="O50" s="26">
        <f>SUM(O45:O49)</f>
        <v>23153</v>
      </c>
      <c r="P50" s="26">
        <f>SUM(P45:P49)</f>
        <v>24468</v>
      </c>
      <c r="Q50" s="26">
        <f>SUM(Q45:Q49)</f>
        <v>24839</v>
      </c>
      <c r="R50" s="48"/>
      <c r="S50" s="26">
        <f>SUM(S45:S49)</f>
        <v>22670</v>
      </c>
      <c r="T50" s="26">
        <f>SUM(T45:T49)</f>
        <v>22376</v>
      </c>
      <c r="U50" s="26">
        <f>SUM(U45:U49)</f>
        <v>23119</v>
      </c>
      <c r="V50" s="26">
        <f>SUM(V45:V49)</f>
        <v>23802</v>
      </c>
      <c r="W50" s="26">
        <f>SUM(W45:W49)</f>
        <v>23656</v>
      </c>
      <c r="X50" s="26">
        <f>SUM(X45:X49)</f>
        <v>23153</v>
      </c>
      <c r="Y50" s="26">
        <f>SUM(Y45:Y49)</f>
        <v>24468</v>
      </c>
      <c r="Z50" s="26">
        <f>SUM(Z45:Z49)</f>
        <v>24839</v>
      </c>
      <c r="AA50" s="42"/>
      <c r="AB50" s="76">
        <f>SUM(Z50/V50)-1</f>
        <v>4.3567767414502967E-2</v>
      </c>
    </row>
    <row r="51" spans="2:28" ht="5.0999999999999996" customHeight="1">
      <c r="B51" s="25"/>
      <c r="C51" s="49"/>
      <c r="D51" s="41"/>
      <c r="E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S51" s="42"/>
      <c r="T51" s="42"/>
      <c r="U51" s="42"/>
      <c r="V51" s="42"/>
      <c r="W51" s="42"/>
      <c r="X51" s="42"/>
      <c r="Y51" s="42"/>
      <c r="Z51" s="42"/>
      <c r="AA51" s="42"/>
      <c r="AB51" s="39"/>
    </row>
    <row r="52" spans="2:28" ht="12.75" customHeight="1">
      <c r="B52" s="78" t="s">
        <v>79</v>
      </c>
      <c r="C52" s="82"/>
      <c r="D52" s="82"/>
      <c r="E52" s="82"/>
      <c r="G52" s="82"/>
      <c r="H52" s="82"/>
      <c r="I52" s="82"/>
      <c r="J52" s="82"/>
      <c r="K52" s="82"/>
      <c r="L52" s="82"/>
      <c r="M52" s="82"/>
      <c r="N52" s="82"/>
      <c r="O52" s="32"/>
      <c r="P52" s="82"/>
      <c r="Q52" s="82"/>
      <c r="S52" s="32"/>
      <c r="T52" s="32"/>
      <c r="U52" s="32"/>
      <c r="V52" s="32"/>
      <c r="W52" s="32"/>
      <c r="X52" s="32"/>
      <c r="Y52" s="32"/>
      <c r="Z52" s="32"/>
      <c r="AA52" s="11"/>
      <c r="AB52" s="75"/>
    </row>
    <row r="53" spans="2:28" ht="12.75" customHeight="1">
      <c r="B53" s="9" t="s">
        <v>162</v>
      </c>
      <c r="C53" s="82">
        <v>766</v>
      </c>
      <c r="D53" s="82">
        <v>799</v>
      </c>
      <c r="E53" s="82">
        <v>886</v>
      </c>
      <c r="G53" s="82">
        <v>776</v>
      </c>
      <c r="H53" s="82">
        <v>799</v>
      </c>
      <c r="I53" s="82">
        <v>788</v>
      </c>
      <c r="J53" s="32">
        <f t="shared" ref="J53:J57" si="110">D53</f>
        <v>799</v>
      </c>
      <c r="K53" s="82">
        <v>818</v>
      </c>
      <c r="L53" s="82">
        <v>877</v>
      </c>
      <c r="M53" s="82">
        <v>912</v>
      </c>
      <c r="N53" s="32">
        <f t="shared" ref="N53:N57" si="111">E53</f>
        <v>886</v>
      </c>
      <c r="O53" s="82">
        <v>907</v>
      </c>
      <c r="P53" s="82">
        <v>958</v>
      </c>
      <c r="Q53" s="82">
        <v>951</v>
      </c>
      <c r="S53" s="32">
        <f>J53</f>
        <v>799</v>
      </c>
      <c r="T53" s="32">
        <f>K53</f>
        <v>818</v>
      </c>
      <c r="U53" s="32">
        <f>L53</f>
        <v>877</v>
      </c>
      <c r="V53" s="32">
        <f>M53</f>
        <v>912</v>
      </c>
      <c r="W53" s="32">
        <f>N53</f>
        <v>886</v>
      </c>
      <c r="X53" s="32">
        <f>O53</f>
        <v>907</v>
      </c>
      <c r="Y53" s="32">
        <f>P53</f>
        <v>958</v>
      </c>
      <c r="Z53" s="32">
        <f>Q53</f>
        <v>951</v>
      </c>
      <c r="AA53" s="11"/>
      <c r="AB53" s="75">
        <f t="shared" ref="AB53:AB58" si="112">SUM(Z53/V53)-1</f>
        <v>4.2763157894736947E-2</v>
      </c>
    </row>
    <row r="54" spans="2:28" ht="12.75" customHeight="1">
      <c r="B54" s="9" t="s">
        <v>151</v>
      </c>
      <c r="C54" s="82">
        <v>9162</v>
      </c>
      <c r="D54" s="82">
        <v>10154</v>
      </c>
      <c r="E54" s="82">
        <v>10658</v>
      </c>
      <c r="G54" s="82">
        <v>9282</v>
      </c>
      <c r="H54" s="82">
        <v>9449</v>
      </c>
      <c r="I54" s="82">
        <v>9552</v>
      </c>
      <c r="J54" s="32">
        <f t="shared" si="110"/>
        <v>10154</v>
      </c>
      <c r="K54" s="82">
        <v>10107</v>
      </c>
      <c r="L54" s="82">
        <v>10233</v>
      </c>
      <c r="M54" s="82">
        <v>10621</v>
      </c>
      <c r="N54" s="32">
        <f t="shared" si="111"/>
        <v>10658</v>
      </c>
      <c r="O54" s="82">
        <v>10932</v>
      </c>
      <c r="P54" s="82">
        <v>11395</v>
      </c>
      <c r="Q54" s="82">
        <v>11504</v>
      </c>
      <c r="S54" s="32">
        <f>J54</f>
        <v>10154</v>
      </c>
      <c r="T54" s="32">
        <f>K54</f>
        <v>10107</v>
      </c>
      <c r="U54" s="32">
        <f>L54</f>
        <v>10233</v>
      </c>
      <c r="V54" s="32">
        <f>M54</f>
        <v>10621</v>
      </c>
      <c r="W54" s="32">
        <f>N54</f>
        <v>10658</v>
      </c>
      <c r="X54" s="32">
        <f>O54</f>
        <v>10932</v>
      </c>
      <c r="Y54" s="32">
        <f>P54</f>
        <v>11395</v>
      </c>
      <c r="Z54" s="32">
        <f>Q54</f>
        <v>11504</v>
      </c>
      <c r="AA54" s="11"/>
      <c r="AB54" s="75">
        <f t="shared" si="112"/>
        <v>8.3137181056397669E-2</v>
      </c>
    </row>
    <row r="55" spans="2:28" ht="12.75" customHeight="1">
      <c r="B55" s="9" t="s">
        <v>163</v>
      </c>
      <c r="C55" s="82">
        <v>10454</v>
      </c>
      <c r="D55" s="82">
        <v>8815</v>
      </c>
      <c r="E55" s="82">
        <v>6647</v>
      </c>
      <c r="G55" s="82">
        <v>10006</v>
      </c>
      <c r="H55" s="82">
        <v>9834</v>
      </c>
      <c r="I55" s="82">
        <v>9282</v>
      </c>
      <c r="J55" s="32">
        <f t="shared" si="110"/>
        <v>8815</v>
      </c>
      <c r="K55" s="82">
        <v>8296</v>
      </c>
      <c r="L55" s="82">
        <v>7827</v>
      </c>
      <c r="M55" s="82">
        <v>7352</v>
      </c>
      <c r="N55" s="32">
        <f t="shared" si="111"/>
        <v>6647</v>
      </c>
      <c r="O55" s="82">
        <v>6261</v>
      </c>
      <c r="P55" s="82">
        <v>5920</v>
      </c>
      <c r="Q55" s="82">
        <v>5598</v>
      </c>
      <c r="S55" s="32">
        <f t="shared" ref="S55" si="113">J55</f>
        <v>8815</v>
      </c>
      <c r="T55" s="32">
        <f t="shared" ref="T55" si="114">K55</f>
        <v>8296</v>
      </c>
      <c r="U55" s="32">
        <f t="shared" ref="U55" si="115">L55</f>
        <v>7827</v>
      </c>
      <c r="V55" s="32">
        <f t="shared" ref="V55" si="116">M55</f>
        <v>7352</v>
      </c>
      <c r="W55" s="32">
        <f t="shared" ref="W55" si="117">N55</f>
        <v>6647</v>
      </c>
      <c r="X55" s="32">
        <f t="shared" ref="X55" si="118">O55</f>
        <v>6261</v>
      </c>
      <c r="Y55" s="32">
        <f t="shared" ref="Y55" si="119">P55</f>
        <v>5920</v>
      </c>
      <c r="Z55" s="32">
        <f t="shared" ref="Z55" si="120">Q55</f>
        <v>5598</v>
      </c>
      <c r="AA55" s="11"/>
      <c r="AB55" s="75">
        <f t="shared" si="112"/>
        <v>-0.23857453754080526</v>
      </c>
    </row>
    <row r="56" spans="2:28" ht="12.75" customHeight="1">
      <c r="B56" s="9" t="s">
        <v>107</v>
      </c>
      <c r="C56" s="82">
        <v>22799</v>
      </c>
      <c r="D56" s="82">
        <v>23679</v>
      </c>
      <c r="E56" s="82">
        <v>23108</v>
      </c>
      <c r="G56" s="82">
        <v>22927</v>
      </c>
      <c r="H56" s="82">
        <v>23258</v>
      </c>
      <c r="I56" s="82">
        <v>23277</v>
      </c>
      <c r="J56" s="32">
        <f t="shared" si="110"/>
        <v>23679</v>
      </c>
      <c r="K56" s="82">
        <v>23383</v>
      </c>
      <c r="L56" s="82">
        <v>23308</v>
      </c>
      <c r="M56" s="82">
        <v>23658</v>
      </c>
      <c r="N56" s="32">
        <f t="shared" si="111"/>
        <v>23108</v>
      </c>
      <c r="O56" s="82">
        <v>23359</v>
      </c>
      <c r="P56" s="82">
        <v>23952</v>
      </c>
      <c r="Q56" s="82">
        <v>23971</v>
      </c>
      <c r="S56" s="32">
        <f t="shared" ref="S56" si="121">J56</f>
        <v>23679</v>
      </c>
      <c r="T56" s="32">
        <f t="shared" ref="T56" si="122">K56</f>
        <v>23383</v>
      </c>
      <c r="U56" s="32">
        <f t="shared" ref="U56" si="123">L56</f>
        <v>23308</v>
      </c>
      <c r="V56" s="32">
        <f t="shared" ref="V56" si="124">M56</f>
        <v>23658</v>
      </c>
      <c r="W56" s="32">
        <f t="shared" ref="W56" si="125">N56</f>
        <v>23108</v>
      </c>
      <c r="X56" s="32">
        <f t="shared" ref="X56" si="126">O56</f>
        <v>23359</v>
      </c>
      <c r="Y56" s="32">
        <f t="shared" ref="Y56" si="127">P56</f>
        <v>23952</v>
      </c>
      <c r="Z56" s="32">
        <f t="shared" ref="Z56" si="128">Q56</f>
        <v>23971</v>
      </c>
      <c r="AA56" s="11"/>
      <c r="AB56" s="75">
        <f t="shared" ref="AB56" si="129">SUM(Z56/V56)-1</f>
        <v>1.3230196973539554E-2</v>
      </c>
    </row>
    <row r="57" spans="2:28" ht="12.75" customHeight="1">
      <c r="B57" s="9" t="s">
        <v>175</v>
      </c>
      <c r="C57" s="82">
        <v>6033</v>
      </c>
      <c r="D57" s="82">
        <v>7097</v>
      </c>
      <c r="E57" s="82">
        <v>16459</v>
      </c>
      <c r="G57" s="82">
        <v>6426</v>
      </c>
      <c r="H57" s="82">
        <v>6509</v>
      </c>
      <c r="I57" s="82">
        <v>6527</v>
      </c>
      <c r="J57" s="32">
        <f t="shared" si="110"/>
        <v>7097</v>
      </c>
      <c r="K57" s="82">
        <v>7487</v>
      </c>
      <c r="L57" s="82">
        <v>7653</v>
      </c>
      <c r="M57" s="82">
        <v>8011</v>
      </c>
      <c r="N57" s="32">
        <f t="shared" si="111"/>
        <v>16459</v>
      </c>
      <c r="O57" s="82">
        <v>16836</v>
      </c>
      <c r="P57" s="82">
        <v>17306</v>
      </c>
      <c r="Q57" s="82">
        <v>17318</v>
      </c>
      <c r="S57" s="32">
        <f t="shared" ref="S57" si="130">J57</f>
        <v>7097</v>
      </c>
      <c r="T57" s="32">
        <f t="shared" ref="T57" si="131">K57</f>
        <v>7487</v>
      </c>
      <c r="U57" s="32">
        <f t="shared" ref="U57" si="132">L57</f>
        <v>7653</v>
      </c>
      <c r="V57" s="32">
        <f t="shared" ref="V57" si="133">M57</f>
        <v>8011</v>
      </c>
      <c r="W57" s="32">
        <f t="shared" ref="W57" si="134">N57</f>
        <v>16459</v>
      </c>
      <c r="X57" s="32">
        <f t="shared" ref="X57" si="135">O57</f>
        <v>16836</v>
      </c>
      <c r="Y57" s="32">
        <f t="shared" ref="Y57" si="136">P57</f>
        <v>17306</v>
      </c>
      <c r="Z57" s="32">
        <f t="shared" ref="Z57" si="137">Q57</f>
        <v>17318</v>
      </c>
      <c r="AA57" s="11"/>
      <c r="AB57" s="75">
        <f t="shared" si="112"/>
        <v>1.1617775558606915</v>
      </c>
    </row>
    <row r="58" spans="2:28" ht="12.75" customHeight="1">
      <c r="B58" s="13" t="s">
        <v>19</v>
      </c>
      <c r="C58" s="14">
        <f>SUM(C53:C57)+C50</f>
        <v>74438</v>
      </c>
      <c r="D58" s="14">
        <f>SUM(D53:D57)+D50</f>
        <v>73214</v>
      </c>
      <c r="E58" s="14">
        <f>SUM(E53:E57)+E50</f>
        <v>81414</v>
      </c>
      <c r="G58" s="14">
        <f>SUM(G53:G57)+G50</f>
        <v>73794</v>
      </c>
      <c r="H58" s="14">
        <f>SUM(H53:H57)+H50</f>
        <v>73354</v>
      </c>
      <c r="I58" s="14">
        <f>SUM(I53:I57)+I50</f>
        <v>72090</v>
      </c>
      <c r="J58" s="14">
        <f>SUM(J53:J57)+J50</f>
        <v>73214</v>
      </c>
      <c r="K58" s="14">
        <f>SUM(K53:K57)+K50</f>
        <v>72467</v>
      </c>
      <c r="L58" s="14">
        <f>SUM(L53:L57)+L50</f>
        <v>73017</v>
      </c>
      <c r="M58" s="14">
        <f>SUM(M53:M57)+M50</f>
        <v>74356</v>
      </c>
      <c r="N58" s="14">
        <f>SUM(N53:N57)+N50</f>
        <v>81414</v>
      </c>
      <c r="O58" s="14">
        <f>SUM(O53:O57)+O50</f>
        <v>81448</v>
      </c>
      <c r="P58" s="14">
        <f>SUM(P53:P57)+P50</f>
        <v>83999</v>
      </c>
      <c r="Q58" s="14">
        <f>SUM(Q53:Q57)+Q50</f>
        <v>84181</v>
      </c>
      <c r="S58" s="14">
        <f>SUM(S53:S57)+S50</f>
        <v>73214</v>
      </c>
      <c r="T58" s="14">
        <f>SUM(T53:T57)+T50</f>
        <v>72467</v>
      </c>
      <c r="U58" s="14">
        <f>SUM(U53:U57)+U50</f>
        <v>73017</v>
      </c>
      <c r="V58" s="14">
        <f>SUM(V53:V57)+V50</f>
        <v>74356</v>
      </c>
      <c r="W58" s="14">
        <f>SUM(W53:W57)+W50</f>
        <v>81414</v>
      </c>
      <c r="X58" s="14">
        <f>SUM(X53:X57)+X50</f>
        <v>81448</v>
      </c>
      <c r="Y58" s="14">
        <f>SUM(Y53:Y57)+Y50</f>
        <v>83999</v>
      </c>
      <c r="Z58" s="34">
        <f>SUM(Z53:Z57)+Z50</f>
        <v>84181</v>
      </c>
      <c r="AA58" s="42"/>
      <c r="AB58" s="76">
        <f t="shared" si="112"/>
        <v>0.13213459572865682</v>
      </c>
    </row>
    <row r="59" spans="2:28" ht="12.75" customHeight="1">
      <c r="B59" s="25"/>
      <c r="C59" s="50"/>
      <c r="D59" s="41"/>
      <c r="E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S59" s="42"/>
      <c r="T59" s="42"/>
      <c r="U59" s="42"/>
      <c r="V59" s="42"/>
      <c r="W59" s="42"/>
      <c r="X59" s="42"/>
      <c r="Y59" s="42"/>
      <c r="Z59" s="42"/>
      <c r="AA59" s="42"/>
      <c r="AB59" s="39"/>
    </row>
    <row r="60" spans="2:28" ht="12.75" customHeight="1">
      <c r="B60" s="78" t="s">
        <v>45</v>
      </c>
      <c r="C60" s="50"/>
      <c r="D60" s="41"/>
      <c r="E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S60" s="42"/>
      <c r="T60" s="42"/>
      <c r="U60" s="42"/>
      <c r="V60" s="42"/>
      <c r="W60" s="42"/>
      <c r="X60" s="42"/>
      <c r="Y60" s="42"/>
      <c r="Z60" s="42"/>
      <c r="AA60" s="42"/>
      <c r="AB60" s="39"/>
    </row>
    <row r="61" spans="2:28" ht="12.75" customHeight="1">
      <c r="B61" s="120" t="s">
        <v>170</v>
      </c>
      <c r="C61" s="121">
        <v>4607</v>
      </c>
      <c r="D61" s="121">
        <v>4295</v>
      </c>
      <c r="E61" s="121">
        <v>4195</v>
      </c>
      <c r="G61" s="82">
        <v>4167</v>
      </c>
      <c r="H61" s="82">
        <v>4211</v>
      </c>
      <c r="I61" s="82">
        <v>3961</v>
      </c>
      <c r="J61" s="32">
        <f t="shared" ref="J61:J66" si="138">D61</f>
        <v>4295</v>
      </c>
      <c r="K61" s="82">
        <v>4178</v>
      </c>
      <c r="L61" s="82">
        <v>4125</v>
      </c>
      <c r="M61" s="82">
        <v>4034</v>
      </c>
      <c r="N61" s="32">
        <f t="shared" ref="N61:N66" si="139">E61</f>
        <v>4195</v>
      </c>
      <c r="O61" s="82">
        <v>4214</v>
      </c>
      <c r="P61" s="82">
        <v>4306</v>
      </c>
      <c r="Q61" s="82">
        <v>4123</v>
      </c>
      <c r="S61" s="97">
        <f>J61</f>
        <v>4295</v>
      </c>
      <c r="T61" s="97">
        <f>K61</f>
        <v>4178</v>
      </c>
      <c r="U61" s="97">
        <f>L61</f>
        <v>4125</v>
      </c>
      <c r="V61" s="97">
        <f>M61</f>
        <v>4034</v>
      </c>
      <c r="W61" s="97">
        <f>N61</f>
        <v>4195</v>
      </c>
      <c r="X61" s="97">
        <f>O61</f>
        <v>4214</v>
      </c>
      <c r="Y61" s="97">
        <f>P61</f>
        <v>4306</v>
      </c>
      <c r="Z61" s="97">
        <f>Q61</f>
        <v>4123</v>
      </c>
      <c r="AA61" s="11"/>
      <c r="AB61" s="75">
        <f t="shared" ref="AB61:AB67" si="140">SUM(Z61/V61)-1</f>
        <v>2.2062469013386155E-2</v>
      </c>
    </row>
    <row r="62" spans="2:28" ht="12.75" customHeight="1">
      <c r="B62" s="120" t="s">
        <v>176</v>
      </c>
      <c r="C62" s="121">
        <v>1556</v>
      </c>
      <c r="D62" s="121">
        <v>1597</v>
      </c>
      <c r="E62" s="121">
        <v>1701</v>
      </c>
      <c r="G62" s="82">
        <v>1098</v>
      </c>
      <c r="H62" s="82">
        <v>1362</v>
      </c>
      <c r="I62" s="82">
        <v>1479</v>
      </c>
      <c r="J62" s="32">
        <f t="shared" si="138"/>
        <v>1597</v>
      </c>
      <c r="K62" s="82">
        <v>1092</v>
      </c>
      <c r="L62" s="82">
        <v>1389</v>
      </c>
      <c r="M62" s="82">
        <v>1618</v>
      </c>
      <c r="N62" s="32">
        <f t="shared" si="139"/>
        <v>1701</v>
      </c>
      <c r="O62" s="82">
        <v>1167</v>
      </c>
      <c r="P62" s="82">
        <v>1550</v>
      </c>
      <c r="Q62" s="82">
        <v>1735</v>
      </c>
      <c r="S62" s="97">
        <f>J62</f>
        <v>1597</v>
      </c>
      <c r="T62" s="97">
        <f>K62</f>
        <v>1092</v>
      </c>
      <c r="U62" s="97">
        <f>L62</f>
        <v>1389</v>
      </c>
      <c r="V62" s="97">
        <f>M62</f>
        <v>1618</v>
      </c>
      <c r="W62" s="97">
        <f>N62</f>
        <v>1701</v>
      </c>
      <c r="X62" s="97">
        <f>O62</f>
        <v>1167</v>
      </c>
      <c r="Y62" s="97">
        <f>P62</f>
        <v>1550</v>
      </c>
      <c r="Z62" s="97">
        <f>Q62</f>
        <v>1735</v>
      </c>
      <c r="AA62" s="11"/>
      <c r="AB62" s="75">
        <f t="shared" ref="AB62" si="141">SUM(Z62/V62)-1</f>
        <v>7.2311495673671233E-2</v>
      </c>
    </row>
    <row r="63" spans="2:28" ht="12.75" customHeight="1">
      <c r="B63" s="120" t="s">
        <v>177</v>
      </c>
      <c r="C63" s="121">
        <v>5845</v>
      </c>
      <c r="D63" s="121">
        <v>5422</v>
      </c>
      <c r="E63" s="121">
        <v>5143</v>
      </c>
      <c r="G63" s="82">
        <v>5758</v>
      </c>
      <c r="H63" s="82">
        <v>5334</v>
      </c>
      <c r="I63" s="82">
        <v>5347</v>
      </c>
      <c r="J63" s="32">
        <f t="shared" si="138"/>
        <v>5422</v>
      </c>
      <c r="K63" s="82">
        <v>5220</v>
      </c>
      <c r="L63" s="82">
        <v>5071</v>
      </c>
      <c r="M63" s="82">
        <v>5427</v>
      </c>
      <c r="N63" s="32">
        <f t="shared" si="139"/>
        <v>5143</v>
      </c>
      <c r="O63" s="82">
        <v>5600</v>
      </c>
      <c r="P63" s="82">
        <v>5656</v>
      </c>
      <c r="Q63" s="82">
        <v>5880</v>
      </c>
      <c r="S63" s="97">
        <f t="shared" ref="S63:S65" si="142">J63</f>
        <v>5422</v>
      </c>
      <c r="T63" s="97">
        <f t="shared" ref="T63:T65" si="143">K63</f>
        <v>5220</v>
      </c>
      <c r="U63" s="97">
        <f t="shared" ref="U63:U65" si="144">L63</f>
        <v>5071</v>
      </c>
      <c r="V63" s="97">
        <f t="shared" ref="V63:V65" si="145">M63</f>
        <v>5427</v>
      </c>
      <c r="W63" s="97">
        <f t="shared" ref="W63:W65" si="146">N63</f>
        <v>5143</v>
      </c>
      <c r="X63" s="97">
        <f t="shared" ref="X63:X65" si="147">O63</f>
        <v>5600</v>
      </c>
      <c r="Y63" s="97">
        <f t="shared" ref="Y63:Y65" si="148">P63</f>
        <v>5656</v>
      </c>
      <c r="Z63" s="97">
        <f t="shared" ref="Z63:Z65" si="149">Q63</f>
        <v>5880</v>
      </c>
      <c r="AA63" s="11"/>
      <c r="AB63" s="75">
        <f t="shared" ref="AB63:AB65" si="150">SUM(Z63/V63)-1</f>
        <v>8.3471531232725216E-2</v>
      </c>
    </row>
    <row r="64" spans="2:28" ht="12.75" customHeight="1">
      <c r="B64" s="120" t="s">
        <v>178</v>
      </c>
      <c r="C64" s="121">
        <v>887</v>
      </c>
      <c r="D64" s="121">
        <v>955</v>
      </c>
      <c r="E64" s="121">
        <v>1024</v>
      </c>
      <c r="G64" s="82">
        <v>888</v>
      </c>
      <c r="H64" s="82">
        <v>886</v>
      </c>
      <c r="I64" s="82">
        <v>886</v>
      </c>
      <c r="J64" s="32">
        <f t="shared" si="138"/>
        <v>955</v>
      </c>
      <c r="K64" s="82">
        <v>959</v>
      </c>
      <c r="L64" s="82">
        <v>959</v>
      </c>
      <c r="M64" s="82">
        <v>956</v>
      </c>
      <c r="N64" s="32">
        <f t="shared" si="139"/>
        <v>1024</v>
      </c>
      <c r="O64" s="82">
        <v>1032</v>
      </c>
      <c r="P64" s="82">
        <v>1030</v>
      </c>
      <c r="Q64" s="82">
        <v>1030</v>
      </c>
      <c r="S64" s="97">
        <f t="shared" si="142"/>
        <v>955</v>
      </c>
      <c r="T64" s="97">
        <f t="shared" si="143"/>
        <v>959</v>
      </c>
      <c r="U64" s="97">
        <f t="shared" si="144"/>
        <v>959</v>
      </c>
      <c r="V64" s="97">
        <f t="shared" si="145"/>
        <v>956</v>
      </c>
      <c r="W64" s="97">
        <f t="shared" si="146"/>
        <v>1024</v>
      </c>
      <c r="X64" s="97">
        <f t="shared" si="147"/>
        <v>1032</v>
      </c>
      <c r="Y64" s="97">
        <f t="shared" si="148"/>
        <v>1030</v>
      </c>
      <c r="Z64" s="97">
        <f t="shared" si="149"/>
        <v>1030</v>
      </c>
      <c r="AA64" s="11"/>
      <c r="AB64" s="75">
        <f t="shared" si="150"/>
        <v>7.7405857740585837E-2</v>
      </c>
    </row>
    <row r="65" spans="2:28" ht="12.75" customHeight="1">
      <c r="B65" s="120" t="s">
        <v>179</v>
      </c>
      <c r="C65" s="121">
        <v>343</v>
      </c>
      <c r="D65" s="121">
        <v>492</v>
      </c>
      <c r="E65" s="121">
        <v>594</v>
      </c>
      <c r="G65" s="82">
        <v>334</v>
      </c>
      <c r="H65" s="82">
        <v>273</v>
      </c>
      <c r="I65" s="82">
        <v>318</v>
      </c>
      <c r="J65" s="32">
        <f t="shared" si="138"/>
        <v>492</v>
      </c>
      <c r="K65" s="82">
        <v>562</v>
      </c>
      <c r="L65" s="82">
        <v>601</v>
      </c>
      <c r="M65" s="82">
        <v>713</v>
      </c>
      <c r="N65" s="32">
        <f t="shared" si="139"/>
        <v>594</v>
      </c>
      <c r="O65" s="82">
        <v>485</v>
      </c>
      <c r="P65" s="82">
        <v>390</v>
      </c>
      <c r="Q65" s="82">
        <v>469</v>
      </c>
      <c r="S65" s="97">
        <f t="shared" si="142"/>
        <v>492</v>
      </c>
      <c r="T65" s="97">
        <f t="shared" si="143"/>
        <v>562</v>
      </c>
      <c r="U65" s="97">
        <f t="shared" si="144"/>
        <v>601</v>
      </c>
      <c r="V65" s="97">
        <f t="shared" si="145"/>
        <v>713</v>
      </c>
      <c r="W65" s="97">
        <f t="shared" si="146"/>
        <v>594</v>
      </c>
      <c r="X65" s="97">
        <f t="shared" si="147"/>
        <v>485</v>
      </c>
      <c r="Y65" s="97">
        <f t="shared" si="148"/>
        <v>390</v>
      </c>
      <c r="Z65" s="97">
        <f t="shared" si="149"/>
        <v>469</v>
      </c>
      <c r="AA65" s="11"/>
      <c r="AB65" s="75">
        <f t="shared" si="150"/>
        <v>-0.34221598877980364</v>
      </c>
    </row>
    <row r="66" spans="2:28" ht="12.75" customHeight="1">
      <c r="B66" s="120" t="s">
        <v>180</v>
      </c>
      <c r="C66" s="121">
        <v>2251</v>
      </c>
      <c r="D66" s="121">
        <v>1080</v>
      </c>
      <c r="E66" s="121">
        <v>1500</v>
      </c>
      <c r="G66" s="82">
        <v>2285</v>
      </c>
      <c r="H66" s="82">
        <v>2284</v>
      </c>
      <c r="I66" s="82">
        <v>1051</v>
      </c>
      <c r="J66" s="32">
        <f t="shared" si="138"/>
        <v>1080</v>
      </c>
      <c r="K66" s="82">
        <v>2010</v>
      </c>
      <c r="L66" s="82">
        <v>1615</v>
      </c>
      <c r="M66" s="82">
        <v>2154</v>
      </c>
      <c r="N66" s="32">
        <f t="shared" si="139"/>
        <v>1500</v>
      </c>
      <c r="O66" s="82">
        <v>506</v>
      </c>
      <c r="P66" s="82">
        <v>507</v>
      </c>
      <c r="Q66" s="82">
        <v>1345</v>
      </c>
      <c r="S66" s="97">
        <f>J66</f>
        <v>1080</v>
      </c>
      <c r="T66" s="97">
        <f>K66</f>
        <v>2010</v>
      </c>
      <c r="U66" s="97">
        <f>L66</f>
        <v>1615</v>
      </c>
      <c r="V66" s="97">
        <f>M66</f>
        <v>2154</v>
      </c>
      <c r="W66" s="97">
        <f>N66</f>
        <v>1500</v>
      </c>
      <c r="X66" s="97">
        <f>O66</f>
        <v>506</v>
      </c>
      <c r="Y66" s="97">
        <f>P66</f>
        <v>507</v>
      </c>
      <c r="Z66" s="97">
        <f>Q66</f>
        <v>1345</v>
      </c>
      <c r="AA66" s="11"/>
      <c r="AB66" s="75">
        <f t="shared" ref="AB66" si="151">SUM(Z66/V66)-1</f>
        <v>-0.37558031569173633</v>
      </c>
    </row>
    <row r="67" spans="2:28" ht="12.75" customHeight="1">
      <c r="B67" s="25" t="s">
        <v>17</v>
      </c>
      <c r="C67" s="26">
        <f>SUM(C61:C66)</f>
        <v>15489</v>
      </c>
      <c r="D67" s="26">
        <f>SUM(D61:D66)</f>
        <v>13841</v>
      </c>
      <c r="E67" s="26">
        <f>SUM(E61:E66)</f>
        <v>14157</v>
      </c>
      <c r="G67" s="26">
        <f>SUM(G61:G66)</f>
        <v>14530</v>
      </c>
      <c r="H67" s="26">
        <f>SUM(H61:H66)</f>
        <v>14350</v>
      </c>
      <c r="I67" s="26">
        <f>SUM(I61:I66)</f>
        <v>13042</v>
      </c>
      <c r="J67" s="26">
        <f>SUM(J61:J66)</f>
        <v>13841</v>
      </c>
      <c r="K67" s="26">
        <f>SUM(K61:K66)</f>
        <v>14021</v>
      </c>
      <c r="L67" s="26">
        <f>SUM(L61:L66)</f>
        <v>13760</v>
      </c>
      <c r="M67" s="26">
        <f>SUM(M61:M66)</f>
        <v>14902</v>
      </c>
      <c r="N67" s="26">
        <f>SUM(N61:N66)</f>
        <v>14157</v>
      </c>
      <c r="O67" s="26">
        <f>SUM(O61:O66)</f>
        <v>13004</v>
      </c>
      <c r="P67" s="26">
        <f>SUM(P61:P66)</f>
        <v>13439</v>
      </c>
      <c r="Q67" s="26">
        <f>SUM(Q61:Q66)</f>
        <v>14582</v>
      </c>
      <c r="R67" s="48"/>
      <c r="S67" s="26">
        <f>SUM(S61:S66)</f>
        <v>13841</v>
      </c>
      <c r="T67" s="26">
        <f>SUM(T61:T66)</f>
        <v>14021</v>
      </c>
      <c r="U67" s="26">
        <f>SUM(U61:U66)</f>
        <v>13760</v>
      </c>
      <c r="V67" s="26">
        <f>SUM(V61:V66)</f>
        <v>14902</v>
      </c>
      <c r="W67" s="26">
        <f>SUM(W61:W66)</f>
        <v>14157</v>
      </c>
      <c r="X67" s="26">
        <f>SUM(X61:X66)</f>
        <v>13004</v>
      </c>
      <c r="Y67" s="26">
        <f>SUM(Y61:Y66)</f>
        <v>13439</v>
      </c>
      <c r="Z67" s="26">
        <f>SUM(Z61:Z66)</f>
        <v>14582</v>
      </c>
      <c r="AA67" s="42"/>
      <c r="AB67" s="76">
        <f t="shared" si="140"/>
        <v>-2.1473627700979714E-2</v>
      </c>
    </row>
    <row r="68" spans="2:28" ht="5.0999999999999996" customHeight="1">
      <c r="B68" s="25"/>
      <c r="C68" s="50"/>
      <c r="D68" s="41"/>
      <c r="E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S68" s="42"/>
      <c r="T68" s="42"/>
      <c r="U68" s="42"/>
      <c r="V68" s="42"/>
      <c r="W68" s="42"/>
      <c r="X68" s="42"/>
      <c r="Y68" s="42"/>
      <c r="Z68" s="42"/>
      <c r="AA68" s="42"/>
      <c r="AB68" s="39"/>
    </row>
    <row r="69" spans="2:28">
      <c r="B69" s="78" t="s">
        <v>80</v>
      </c>
      <c r="C69" s="50"/>
      <c r="D69" s="41"/>
      <c r="E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S69" s="42"/>
      <c r="T69" s="42"/>
      <c r="U69" s="42"/>
      <c r="V69" s="42"/>
      <c r="W69" s="42"/>
      <c r="X69" s="42"/>
      <c r="Y69" s="42"/>
      <c r="Z69" s="42"/>
      <c r="AA69" s="42"/>
      <c r="AB69" s="39"/>
    </row>
    <row r="70" spans="2:28" ht="12.75" customHeight="1">
      <c r="B70" s="120" t="s">
        <v>152</v>
      </c>
      <c r="C70" s="121">
        <v>14522</v>
      </c>
      <c r="D70" s="121">
        <v>13599</v>
      </c>
      <c r="E70" s="121">
        <v>12625</v>
      </c>
      <c r="F70" s="51"/>
      <c r="G70" s="82">
        <v>14615</v>
      </c>
      <c r="H70" s="82">
        <v>14562</v>
      </c>
      <c r="I70" s="82">
        <v>14477</v>
      </c>
      <c r="J70" s="32">
        <f t="shared" ref="J70:J71" si="152">D70</f>
        <v>13599</v>
      </c>
      <c r="K70" s="82">
        <v>12576</v>
      </c>
      <c r="L70" s="82">
        <v>13139</v>
      </c>
      <c r="M70" s="82">
        <v>12825</v>
      </c>
      <c r="N70" s="32">
        <f t="shared" ref="N70:N71" si="153">E70</f>
        <v>12625</v>
      </c>
      <c r="O70" s="82">
        <v>12736</v>
      </c>
      <c r="P70" s="82">
        <v>12930</v>
      </c>
      <c r="Q70" s="82">
        <v>11596</v>
      </c>
      <c r="R70" s="121"/>
      <c r="S70" s="97">
        <f>J70</f>
        <v>13599</v>
      </c>
      <c r="T70" s="97">
        <f>K70</f>
        <v>12576</v>
      </c>
      <c r="U70" s="97">
        <f>L70</f>
        <v>13139</v>
      </c>
      <c r="V70" s="97">
        <f>M70</f>
        <v>12825</v>
      </c>
      <c r="W70" s="97">
        <f>N70</f>
        <v>12625</v>
      </c>
      <c r="X70" s="97">
        <f>O70</f>
        <v>12736</v>
      </c>
      <c r="Y70" s="97">
        <f>P70</f>
        <v>12930</v>
      </c>
      <c r="Z70" s="97">
        <f>Q70</f>
        <v>11596</v>
      </c>
      <c r="AA70" s="42"/>
      <c r="AB70" s="75">
        <f t="shared" ref="AB70:AB79" si="154">SUM(Z70/V70)-1</f>
        <v>-9.5828460038986374E-2</v>
      </c>
    </row>
    <row r="71" spans="2:28" ht="12.75" customHeight="1">
      <c r="B71" s="120" t="s">
        <v>181</v>
      </c>
      <c r="C71" s="121">
        <v>7522</v>
      </c>
      <c r="D71" s="121">
        <v>6947</v>
      </c>
      <c r="E71" s="121">
        <v>6731</v>
      </c>
      <c r="F71" s="51"/>
      <c r="G71" s="82">
        <v>7417</v>
      </c>
      <c r="H71" s="82">
        <v>7038</v>
      </c>
      <c r="I71" s="82">
        <v>6877</v>
      </c>
      <c r="J71" s="32">
        <f t="shared" si="152"/>
        <v>6947</v>
      </c>
      <c r="K71" s="82">
        <v>6827</v>
      </c>
      <c r="L71" s="82">
        <v>6558</v>
      </c>
      <c r="M71" s="82">
        <v>6601</v>
      </c>
      <c r="N71" s="32">
        <f t="shared" si="153"/>
        <v>6731</v>
      </c>
      <c r="O71" s="82">
        <v>6644</v>
      </c>
      <c r="P71" s="82">
        <v>6801</v>
      </c>
      <c r="Q71" s="82">
        <v>6739</v>
      </c>
      <c r="R71" s="121"/>
      <c r="S71" s="97">
        <f t="shared" ref="S71" si="155">J71</f>
        <v>6947</v>
      </c>
      <c r="T71" s="97">
        <f t="shared" ref="T71" si="156">K71</f>
        <v>6827</v>
      </c>
      <c r="U71" s="97">
        <f t="shared" ref="U71" si="157">L71</f>
        <v>6558</v>
      </c>
      <c r="V71" s="97">
        <f t="shared" ref="V71" si="158">M71</f>
        <v>6601</v>
      </c>
      <c r="W71" s="97">
        <f t="shared" ref="W71" si="159">N71</f>
        <v>6731</v>
      </c>
      <c r="X71" s="97">
        <f t="shared" ref="X71" si="160">O71</f>
        <v>6644</v>
      </c>
      <c r="Y71" s="97">
        <f t="shared" ref="Y71" si="161">P71</f>
        <v>6801</v>
      </c>
      <c r="Z71" s="97">
        <f t="shared" ref="Z71" si="162">Q71</f>
        <v>6739</v>
      </c>
      <c r="AA71" s="42"/>
      <c r="AB71" s="75">
        <f t="shared" si="154"/>
        <v>2.0905923344947785E-2</v>
      </c>
    </row>
    <row r="72" spans="2:28" ht="12.75" customHeight="1">
      <c r="B72" s="13" t="s">
        <v>15</v>
      </c>
      <c r="C72" s="14">
        <f>SUM(C70:C71)+C67</f>
        <v>37533</v>
      </c>
      <c r="D72" s="14">
        <f>SUM(D70:D71)+D67</f>
        <v>34387</v>
      </c>
      <c r="E72" s="14">
        <f>SUM(E70:E71)+E67</f>
        <v>33513</v>
      </c>
      <c r="G72" s="14">
        <f>SUM(G70:G71)+G67</f>
        <v>36562</v>
      </c>
      <c r="H72" s="14">
        <f>SUM(H70:H71)+H67</f>
        <v>35950</v>
      </c>
      <c r="I72" s="14">
        <f>SUM(I70:I71)+I67</f>
        <v>34396</v>
      </c>
      <c r="J72" s="14">
        <f>SUM(J70:J71)+J67</f>
        <v>34387</v>
      </c>
      <c r="K72" s="14">
        <f>SUM(K70:K71)+K67</f>
        <v>33424</v>
      </c>
      <c r="L72" s="14">
        <f>SUM(L70:L71)+L67</f>
        <v>33457</v>
      </c>
      <c r="M72" s="14">
        <f>SUM(M70:M71)+M67</f>
        <v>34328</v>
      </c>
      <c r="N72" s="14">
        <f>SUM(N70:N71)+N67</f>
        <v>33513</v>
      </c>
      <c r="O72" s="14">
        <f>SUM(O70:O71)+O67</f>
        <v>32384</v>
      </c>
      <c r="P72" s="14">
        <f>SUM(P70:P71)+P67</f>
        <v>33170</v>
      </c>
      <c r="Q72" s="14">
        <f>SUM(Q70:Q71)+Q67</f>
        <v>32917</v>
      </c>
      <c r="S72" s="14">
        <f>SUM(S70:S71)+S67</f>
        <v>34387</v>
      </c>
      <c r="T72" s="14">
        <f>SUM(T70:T71)+T67</f>
        <v>33424</v>
      </c>
      <c r="U72" s="14">
        <f>SUM(U70:U71)+U67</f>
        <v>33457</v>
      </c>
      <c r="V72" s="14">
        <f>SUM(V70:V71)+V67</f>
        <v>34328</v>
      </c>
      <c r="W72" s="14">
        <f>SUM(W70:W71)+W67</f>
        <v>33513</v>
      </c>
      <c r="X72" s="14">
        <f>SUM(X70:X71)+X67</f>
        <v>32384</v>
      </c>
      <c r="Y72" s="14">
        <f>SUM(Y70:Y71)+Y67</f>
        <v>33170</v>
      </c>
      <c r="Z72" s="14">
        <f>SUM(Z70:Z71)+Z67</f>
        <v>32917</v>
      </c>
      <c r="AA72" s="42"/>
      <c r="AB72" s="76">
        <f t="shared" si="154"/>
        <v>-4.1103472384059647E-2</v>
      </c>
    </row>
    <row r="73" spans="2:28" ht="5.0999999999999996" customHeight="1">
      <c r="B73" s="25"/>
      <c r="C73" s="49"/>
      <c r="D73" s="41"/>
      <c r="E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S73" s="42"/>
      <c r="T73" s="42"/>
      <c r="U73" s="42"/>
      <c r="V73" s="42"/>
      <c r="W73" s="42"/>
      <c r="X73" s="42"/>
      <c r="Y73" s="42"/>
      <c r="Z73" s="42"/>
      <c r="AA73" s="42"/>
      <c r="AB73" s="39"/>
    </row>
    <row r="74" spans="2:28" ht="12.75" customHeight="1">
      <c r="B74" s="9" t="s">
        <v>153</v>
      </c>
      <c r="C74" s="82">
        <v>36905</v>
      </c>
      <c r="D74" s="82">
        <v>38827</v>
      </c>
      <c r="E74" s="82">
        <v>47901</v>
      </c>
      <c r="F74" s="32"/>
      <c r="G74" s="82">
        <v>3723</v>
      </c>
      <c r="H74" s="82">
        <v>37404</v>
      </c>
      <c r="I74" s="82">
        <v>37694</v>
      </c>
      <c r="J74" s="32">
        <f t="shared" ref="J74:J77" si="163">D74</f>
        <v>38827</v>
      </c>
      <c r="K74" s="82">
        <v>39043</v>
      </c>
      <c r="L74" s="82">
        <v>39560</v>
      </c>
      <c r="M74" s="82">
        <v>40028</v>
      </c>
      <c r="N74" s="32">
        <f t="shared" ref="N74:N77" si="164">E74</f>
        <v>47901</v>
      </c>
      <c r="O74" s="82">
        <v>49064</v>
      </c>
      <c r="P74" s="82">
        <v>50829</v>
      </c>
      <c r="Q74" s="82">
        <v>51264</v>
      </c>
      <c r="S74" s="32">
        <f>J74</f>
        <v>38827</v>
      </c>
      <c r="T74" s="32">
        <f>K74</f>
        <v>39043</v>
      </c>
      <c r="U74" s="32">
        <f>L74</f>
        <v>39560</v>
      </c>
      <c r="V74" s="32">
        <f>M74</f>
        <v>40028</v>
      </c>
      <c r="W74" s="32">
        <f>N74</f>
        <v>47901</v>
      </c>
      <c r="X74" s="32">
        <f>O74</f>
        <v>49064</v>
      </c>
      <c r="Y74" s="32">
        <f>P74</f>
        <v>50829</v>
      </c>
      <c r="Z74" s="32">
        <f>Q74</f>
        <v>51264</v>
      </c>
      <c r="AA74" s="11"/>
      <c r="AB74" s="75">
        <f t="shared" si="154"/>
        <v>0.28070350754471862</v>
      </c>
    </row>
    <row r="75" spans="2:28" ht="12.75" customHeight="1">
      <c r="B75" s="9" t="s">
        <v>137</v>
      </c>
      <c r="C75" s="82"/>
      <c r="D75" s="82"/>
      <c r="E75" s="82"/>
      <c r="F75" s="32"/>
      <c r="G75" s="82"/>
      <c r="H75" s="82"/>
      <c r="I75" s="82"/>
      <c r="J75" s="32">
        <f t="shared" si="163"/>
        <v>0</v>
      </c>
      <c r="K75" s="82"/>
      <c r="L75" s="82"/>
      <c r="M75" s="82"/>
      <c r="N75" s="32">
        <f t="shared" si="164"/>
        <v>0</v>
      </c>
      <c r="O75" s="82"/>
      <c r="P75" s="82"/>
      <c r="Q75" s="82"/>
      <c r="S75" s="32">
        <f>J75</f>
        <v>0</v>
      </c>
      <c r="T75" s="32">
        <f>K75</f>
        <v>0</v>
      </c>
      <c r="U75" s="32">
        <f>L75</f>
        <v>0</v>
      </c>
      <c r="V75" s="32">
        <f>M75</f>
        <v>0</v>
      </c>
      <c r="W75" s="32">
        <f>N75</f>
        <v>0</v>
      </c>
      <c r="X75" s="32">
        <f>O75</f>
        <v>0</v>
      </c>
      <c r="Y75" s="32">
        <f>P75</f>
        <v>0</v>
      </c>
      <c r="Z75" s="32">
        <f>Q75</f>
        <v>0</v>
      </c>
      <c r="AA75" s="11"/>
      <c r="AB75" s="75"/>
    </row>
    <row r="76" spans="2:28" ht="12.75" customHeight="1">
      <c r="B76" s="9" t="s">
        <v>154</v>
      </c>
      <c r="C76" s="82"/>
      <c r="D76" s="82"/>
      <c r="E76" s="82"/>
      <c r="F76" s="32"/>
      <c r="G76" s="82"/>
      <c r="H76" s="82"/>
      <c r="I76" s="82"/>
      <c r="J76" s="32">
        <f t="shared" si="163"/>
        <v>0</v>
      </c>
      <c r="K76" s="82"/>
      <c r="L76" s="82"/>
      <c r="M76" s="82"/>
      <c r="N76" s="32">
        <f t="shared" si="164"/>
        <v>0</v>
      </c>
      <c r="O76" s="82"/>
      <c r="P76" s="82"/>
      <c r="Q76" s="82"/>
      <c r="S76" s="32">
        <f>J76</f>
        <v>0</v>
      </c>
      <c r="T76" s="32">
        <f>K76</f>
        <v>0</v>
      </c>
      <c r="U76" s="32">
        <f>L76</f>
        <v>0</v>
      </c>
      <c r="V76" s="32">
        <f>M76</f>
        <v>0</v>
      </c>
      <c r="W76" s="32">
        <f>N76</f>
        <v>0</v>
      </c>
      <c r="X76" s="32">
        <f>O76</f>
        <v>0</v>
      </c>
      <c r="Y76" s="32">
        <f>P76</f>
        <v>0</v>
      </c>
      <c r="Z76" s="32">
        <f>Q76</f>
        <v>0</v>
      </c>
      <c r="AA76" s="11"/>
      <c r="AB76" s="75"/>
    </row>
    <row r="77" spans="2:28" ht="12.75" customHeight="1">
      <c r="B77" s="9" t="s">
        <v>137</v>
      </c>
      <c r="C77" s="82"/>
      <c r="D77" s="82"/>
      <c r="E77" s="82"/>
      <c r="F77" s="32"/>
      <c r="G77" s="82"/>
      <c r="H77" s="82"/>
      <c r="I77" s="82"/>
      <c r="J77" s="32">
        <f t="shared" si="163"/>
        <v>0</v>
      </c>
      <c r="K77" s="82"/>
      <c r="L77" s="82"/>
      <c r="M77" s="82"/>
      <c r="N77" s="32">
        <f t="shared" si="164"/>
        <v>0</v>
      </c>
      <c r="O77" s="82"/>
      <c r="P77" s="82"/>
      <c r="Q77" s="82"/>
      <c r="S77" s="32">
        <f>J77</f>
        <v>0</v>
      </c>
      <c r="T77" s="32">
        <f>K77</f>
        <v>0</v>
      </c>
      <c r="U77" s="32">
        <f>L77</f>
        <v>0</v>
      </c>
      <c r="V77" s="32">
        <f>M77</f>
        <v>0</v>
      </c>
      <c r="W77" s="32">
        <f>N77</f>
        <v>0</v>
      </c>
      <c r="X77" s="32">
        <f>O77</f>
        <v>0</v>
      </c>
      <c r="Y77" s="32">
        <f>P77</f>
        <v>0</v>
      </c>
      <c r="Z77" s="32">
        <f>Q77</f>
        <v>0</v>
      </c>
      <c r="AA77" s="11"/>
      <c r="AB77" s="75" t="e">
        <f t="shared" si="154"/>
        <v>#DIV/0!</v>
      </c>
    </row>
    <row r="78" spans="2:28" ht="12.75" customHeight="1">
      <c r="B78" s="13" t="s">
        <v>14</v>
      </c>
      <c r="C78" s="14">
        <f t="shared" ref="C78:E78" si="165">SUM(C74:C77)</f>
        <v>36905</v>
      </c>
      <c r="D78" s="14">
        <f t="shared" si="165"/>
        <v>38827</v>
      </c>
      <c r="E78" s="14">
        <f t="shared" si="165"/>
        <v>47901</v>
      </c>
      <c r="F78" s="52"/>
      <c r="G78" s="14">
        <f t="shared" ref="G78:Q78" si="166">SUM(G74:G77)</f>
        <v>3723</v>
      </c>
      <c r="H78" s="14">
        <f t="shared" si="166"/>
        <v>37404</v>
      </c>
      <c r="I78" s="14">
        <f t="shared" si="166"/>
        <v>37694</v>
      </c>
      <c r="J78" s="14">
        <f t="shared" si="166"/>
        <v>38827</v>
      </c>
      <c r="K78" s="14">
        <f t="shared" si="166"/>
        <v>39043</v>
      </c>
      <c r="L78" s="14">
        <f t="shared" si="166"/>
        <v>39560</v>
      </c>
      <c r="M78" s="14">
        <f t="shared" si="166"/>
        <v>40028</v>
      </c>
      <c r="N78" s="14">
        <f t="shared" si="166"/>
        <v>47901</v>
      </c>
      <c r="O78" s="14">
        <f t="shared" si="166"/>
        <v>49064</v>
      </c>
      <c r="P78" s="14">
        <f t="shared" si="166"/>
        <v>50829</v>
      </c>
      <c r="Q78" s="14">
        <f t="shared" si="166"/>
        <v>51264</v>
      </c>
      <c r="S78" s="14">
        <f t="shared" ref="S78:Z78" si="167">SUM(S74:S77)</f>
        <v>38827</v>
      </c>
      <c r="T78" s="14">
        <f t="shared" si="167"/>
        <v>39043</v>
      </c>
      <c r="U78" s="14">
        <f t="shared" si="167"/>
        <v>39560</v>
      </c>
      <c r="V78" s="14">
        <f t="shared" si="167"/>
        <v>40028</v>
      </c>
      <c r="W78" s="14">
        <f t="shared" si="167"/>
        <v>47901</v>
      </c>
      <c r="X78" s="14">
        <f t="shared" si="167"/>
        <v>49064</v>
      </c>
      <c r="Y78" s="14">
        <f t="shared" si="167"/>
        <v>50829</v>
      </c>
      <c r="Z78" s="14">
        <f t="shared" si="167"/>
        <v>51264</v>
      </c>
      <c r="AA78" s="42"/>
      <c r="AB78" s="75">
        <f t="shared" si="154"/>
        <v>0.28070350754471862</v>
      </c>
    </row>
    <row r="79" spans="2:28" ht="12.75" customHeight="1">
      <c r="B79" s="25" t="s">
        <v>49</v>
      </c>
      <c r="C79" s="32">
        <f t="shared" ref="C79:E79" si="168">SUM(C78+C72)</f>
        <v>74438</v>
      </c>
      <c r="D79" s="32">
        <f t="shared" si="168"/>
        <v>73214</v>
      </c>
      <c r="E79" s="32">
        <f t="shared" si="168"/>
        <v>81414</v>
      </c>
      <c r="F79" s="32"/>
      <c r="G79" s="32">
        <f t="shared" ref="G79:Q79" si="169">SUM(G78+G72)</f>
        <v>40285</v>
      </c>
      <c r="H79" s="32">
        <f t="shared" si="169"/>
        <v>73354</v>
      </c>
      <c r="I79" s="32">
        <f t="shared" si="169"/>
        <v>72090</v>
      </c>
      <c r="J79" s="32">
        <f t="shared" si="169"/>
        <v>73214</v>
      </c>
      <c r="K79" s="32">
        <f t="shared" si="169"/>
        <v>72467</v>
      </c>
      <c r="L79" s="32">
        <f t="shared" si="169"/>
        <v>73017</v>
      </c>
      <c r="M79" s="32">
        <f t="shared" si="169"/>
        <v>74356</v>
      </c>
      <c r="N79" s="32">
        <f t="shared" si="169"/>
        <v>81414</v>
      </c>
      <c r="O79" s="32">
        <f t="shared" si="169"/>
        <v>81448</v>
      </c>
      <c r="P79" s="32">
        <f t="shared" si="169"/>
        <v>83999</v>
      </c>
      <c r="Q79" s="32">
        <f t="shared" si="169"/>
        <v>84181</v>
      </c>
      <c r="R79" s="32"/>
      <c r="S79" s="32">
        <f t="shared" ref="S79:Z79" si="170">SUM(S78+S72)</f>
        <v>73214</v>
      </c>
      <c r="T79" s="32">
        <f t="shared" si="170"/>
        <v>72467</v>
      </c>
      <c r="U79" s="32">
        <f t="shared" si="170"/>
        <v>73017</v>
      </c>
      <c r="V79" s="32">
        <f t="shared" si="170"/>
        <v>74356</v>
      </c>
      <c r="W79" s="32">
        <f t="shared" si="170"/>
        <v>81414</v>
      </c>
      <c r="X79" s="32">
        <f t="shared" si="170"/>
        <v>81448</v>
      </c>
      <c r="Y79" s="32">
        <f t="shared" si="170"/>
        <v>83999</v>
      </c>
      <c r="Z79" s="32">
        <f t="shared" si="170"/>
        <v>84181</v>
      </c>
      <c r="AA79" s="11"/>
      <c r="AB79" s="76">
        <f t="shared" si="154"/>
        <v>0.13213459572865682</v>
      </c>
    </row>
    <row r="80" spans="2:28" ht="5.0999999999999996" customHeight="1">
      <c r="B80" s="25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11"/>
    </row>
    <row r="81" spans="1:28" ht="12.75" customHeight="1">
      <c r="B81" s="139" t="s">
        <v>58</v>
      </c>
      <c r="C81" s="69">
        <f>C79-C58</f>
        <v>0</v>
      </c>
      <c r="D81" s="69">
        <f>D79-D58</f>
        <v>0</v>
      </c>
      <c r="E81" s="69">
        <f>E79-E58</f>
        <v>0</v>
      </c>
      <c r="F81" s="70"/>
      <c r="G81" s="69">
        <f>G79-G58</f>
        <v>-33509</v>
      </c>
      <c r="H81" s="69">
        <f>H79-H58</f>
        <v>0</v>
      </c>
      <c r="I81" s="69">
        <f>I79-I58</f>
        <v>0</v>
      </c>
      <c r="J81" s="69">
        <f>J79-J58</f>
        <v>0</v>
      </c>
      <c r="K81" s="69">
        <f>K79-K58</f>
        <v>0</v>
      </c>
      <c r="L81" s="69">
        <f>L79-L58</f>
        <v>0</v>
      </c>
      <c r="M81" s="69">
        <f>M79-M58</f>
        <v>0</v>
      </c>
      <c r="N81" s="69">
        <f>N79-N58</f>
        <v>0</v>
      </c>
      <c r="O81" s="69">
        <f>O79-O58</f>
        <v>0</v>
      </c>
      <c r="P81" s="69">
        <f>P79-P58</f>
        <v>0</v>
      </c>
      <c r="Q81" s="69">
        <f>Q79-Q58</f>
        <v>0</v>
      </c>
      <c r="R81" s="28"/>
      <c r="S81" s="69">
        <f>S79-S58</f>
        <v>0</v>
      </c>
      <c r="T81" s="69">
        <f>T79-T58</f>
        <v>0</v>
      </c>
      <c r="U81" s="69">
        <f>U79-U58</f>
        <v>0</v>
      </c>
      <c r="V81" s="69">
        <f>V79-V58</f>
        <v>0</v>
      </c>
      <c r="W81" s="69">
        <f>W79-W58</f>
        <v>0</v>
      </c>
      <c r="X81" s="69">
        <f>X79-X58</f>
        <v>0</v>
      </c>
      <c r="Y81" s="69">
        <f>Y79-Y58</f>
        <v>0</v>
      </c>
      <c r="Z81" s="69">
        <f>Z79-Z58</f>
        <v>0</v>
      </c>
    </row>
    <row r="82" spans="1:28" ht="5.0999999999999996" customHeight="1" thickBot="1">
      <c r="B82" s="116"/>
      <c r="C82" s="117"/>
      <c r="D82" s="117"/>
      <c r="E82" s="117"/>
      <c r="F82" s="118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9"/>
      <c r="S82" s="117"/>
      <c r="T82" s="117"/>
      <c r="U82" s="117"/>
      <c r="V82" s="117"/>
      <c r="W82" s="117"/>
      <c r="X82" s="117"/>
      <c r="Y82" s="117"/>
      <c r="Z82" s="117"/>
      <c r="AA82" s="73"/>
      <c r="AB82" s="73"/>
    </row>
    <row r="83" spans="1:28">
      <c r="B83" s="68"/>
      <c r="C83" s="24"/>
      <c r="D83" s="24"/>
      <c r="E83" s="24"/>
      <c r="F83" s="53"/>
    </row>
    <row r="84" spans="1:28" ht="12.75" customHeight="1">
      <c r="A84" s="5" t="s">
        <v>16</v>
      </c>
      <c r="B84" s="98" t="s">
        <v>13</v>
      </c>
      <c r="C84" s="102"/>
      <c r="D84" s="102"/>
      <c r="E84" s="102"/>
      <c r="F84" s="103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98"/>
      <c r="S84" s="102"/>
      <c r="T84" s="102"/>
      <c r="U84" s="102" t="s">
        <v>10</v>
      </c>
      <c r="V84" s="102"/>
      <c r="W84" s="102"/>
      <c r="X84" s="102"/>
      <c r="Y84" s="102"/>
      <c r="Z84" s="102"/>
      <c r="AA84" s="103"/>
      <c r="AB84" s="164" t="s">
        <v>22</v>
      </c>
    </row>
    <row r="85" spans="1:28" ht="12.75" customHeight="1">
      <c r="B85" s="99" t="str">
        <f>B7</f>
        <v>Fiscal Period</v>
      </c>
      <c r="C85" s="104">
        <f>C7</f>
        <v>2022</v>
      </c>
      <c r="D85" s="104">
        <f>D7</f>
        <v>2023</v>
      </c>
      <c r="E85" s="104">
        <f>E7</f>
        <v>2024</v>
      </c>
      <c r="F85" s="103"/>
      <c r="G85" s="104" t="str">
        <f>G7</f>
        <v>1Q23</v>
      </c>
      <c r="H85" s="104" t="str">
        <f>H7</f>
        <v>2Q23</v>
      </c>
      <c r="I85" s="104" t="str">
        <f>I7</f>
        <v>3Q23</v>
      </c>
      <c r="J85" s="104" t="str">
        <f>J7</f>
        <v>4Q23</v>
      </c>
      <c r="K85" s="104" t="str">
        <f>K7</f>
        <v>1Q24</v>
      </c>
      <c r="L85" s="104" t="str">
        <f>L7</f>
        <v>2Q24</v>
      </c>
      <c r="M85" s="104" t="str">
        <f>M7</f>
        <v>3Q24</v>
      </c>
      <c r="N85" s="104" t="str">
        <f>N7</f>
        <v>4Q24</v>
      </c>
      <c r="O85" s="104" t="str">
        <f>O7</f>
        <v>1Q25</v>
      </c>
      <c r="P85" s="104" t="str">
        <f>P7</f>
        <v>2Q25</v>
      </c>
      <c r="Q85" s="104" t="str">
        <f>Q7</f>
        <v>3Q25</v>
      </c>
      <c r="R85" s="104"/>
      <c r="S85" s="104" t="str">
        <f>S7</f>
        <v>4Q23</v>
      </c>
      <c r="T85" s="104" t="str">
        <f>T7</f>
        <v>1Q24</v>
      </c>
      <c r="U85" s="104" t="str">
        <f>U7</f>
        <v>2Q24</v>
      </c>
      <c r="V85" s="104" t="str">
        <f>V7</f>
        <v>3Q24</v>
      </c>
      <c r="W85" s="104" t="str">
        <f>W7</f>
        <v>4Q24</v>
      </c>
      <c r="X85" s="104" t="str">
        <f>X7</f>
        <v>1Q25</v>
      </c>
      <c r="Y85" s="104" t="str">
        <f>Y7</f>
        <v>2Q25</v>
      </c>
      <c r="Z85" s="104" t="str">
        <f>Z7</f>
        <v>3Q25</v>
      </c>
      <c r="AA85" s="103"/>
      <c r="AB85" s="164"/>
    </row>
    <row r="86" spans="1:28" ht="12.75" customHeight="1">
      <c r="B86" s="99" t="str">
        <f>B8</f>
        <v>Fiscal Period End Date</v>
      </c>
      <c r="C86" s="105">
        <f>C8</f>
        <v>0</v>
      </c>
      <c r="D86" s="105">
        <f>D8</f>
        <v>0</v>
      </c>
      <c r="E86" s="105">
        <f>E8</f>
        <v>0</v>
      </c>
      <c r="F86" s="103"/>
      <c r="G86" s="105">
        <f>G8</f>
        <v>0</v>
      </c>
      <c r="H86" s="105">
        <f>H8</f>
        <v>0</v>
      </c>
      <c r="I86" s="105">
        <f>I8</f>
        <v>0</v>
      </c>
      <c r="J86" s="105">
        <f>J8</f>
        <v>0</v>
      </c>
      <c r="K86" s="105">
        <f>K8</f>
        <v>0</v>
      </c>
      <c r="L86" s="105">
        <f>L8</f>
        <v>0</v>
      </c>
      <c r="M86" s="105">
        <f>M8</f>
        <v>0</v>
      </c>
      <c r="N86" s="105">
        <f>N8</f>
        <v>0</v>
      </c>
      <c r="O86" s="105">
        <f>O8</f>
        <v>0</v>
      </c>
      <c r="P86" s="105">
        <f>P8</f>
        <v>0</v>
      </c>
      <c r="Q86" s="105">
        <f>Q8</f>
        <v>0</v>
      </c>
      <c r="R86" s="105"/>
      <c r="S86" s="105">
        <f>S8</f>
        <v>0</v>
      </c>
      <c r="T86" s="105">
        <f>T8</f>
        <v>0</v>
      </c>
      <c r="U86" s="105">
        <f>U8</f>
        <v>0</v>
      </c>
      <c r="V86" s="105">
        <f>V8</f>
        <v>0</v>
      </c>
      <c r="W86" s="105">
        <f>W8</f>
        <v>0</v>
      </c>
      <c r="X86" s="105">
        <f>X8</f>
        <v>0</v>
      </c>
      <c r="Y86" s="105">
        <f>Y8</f>
        <v>0</v>
      </c>
      <c r="Z86" s="105">
        <f>Z8</f>
        <v>0</v>
      </c>
      <c r="AA86" s="103"/>
      <c r="AB86" s="164"/>
    </row>
    <row r="87" spans="1:28" ht="5.0999999999999996" customHeight="1">
      <c r="B87" s="54"/>
      <c r="C87" s="47"/>
      <c r="D87" s="47"/>
      <c r="E87" s="47"/>
    </row>
    <row r="88" spans="1:28" ht="12.75" customHeight="1">
      <c r="B88" s="55" t="s">
        <v>50</v>
      </c>
      <c r="C88" s="56"/>
      <c r="D88" s="56"/>
      <c r="E88" s="56"/>
    </row>
    <row r="89" spans="1:28" ht="12.75" customHeight="1">
      <c r="B89" s="57" t="s">
        <v>105</v>
      </c>
      <c r="C89" s="32">
        <f>C31</f>
        <v>6933</v>
      </c>
      <c r="D89" s="32">
        <f>D31</f>
        <v>5723</v>
      </c>
      <c r="E89" s="32">
        <f>E31</f>
        <v>13402</v>
      </c>
      <c r="F89" s="32"/>
      <c r="G89" s="32">
        <f>G31</f>
        <v>1318</v>
      </c>
      <c r="H89" s="32">
        <f>H31</f>
        <v>1375</v>
      </c>
      <c r="I89" s="32">
        <f>I31</f>
        <v>1436</v>
      </c>
      <c r="J89" s="32">
        <f>J31</f>
        <v>1594</v>
      </c>
      <c r="K89" s="32">
        <f>K31</f>
        <v>1225</v>
      </c>
      <c r="L89" s="32">
        <f>L31</f>
        <v>1302</v>
      </c>
      <c r="M89" s="32">
        <f>M31</f>
        <v>1646</v>
      </c>
      <c r="N89" s="32">
        <f>N31</f>
        <v>9229</v>
      </c>
      <c r="O89" s="32">
        <f>O31</f>
        <v>1325</v>
      </c>
      <c r="P89" s="32">
        <f>P31</f>
        <v>1779</v>
      </c>
      <c r="Q89" s="32">
        <f>Q31</f>
        <v>1644</v>
      </c>
      <c r="R89" s="32"/>
      <c r="S89" s="32">
        <f>S31</f>
        <v>5723</v>
      </c>
      <c r="T89" s="32">
        <f>T31</f>
        <v>5630</v>
      </c>
      <c r="U89" s="32">
        <f>U31</f>
        <v>5557</v>
      </c>
      <c r="V89" s="32">
        <f>V31</f>
        <v>5767</v>
      </c>
      <c r="W89" s="32">
        <f>W31</f>
        <v>13402</v>
      </c>
      <c r="X89" s="32">
        <f>X31</f>
        <v>13502</v>
      </c>
      <c r="Y89" s="32">
        <f>Y31</f>
        <v>13979</v>
      </c>
      <c r="Z89" s="32">
        <f>Z31</f>
        <v>13977</v>
      </c>
      <c r="AA89" s="11"/>
      <c r="AB89" s="75">
        <f>SUM(Z89/V89)-1</f>
        <v>1.4236171319576902</v>
      </c>
    </row>
    <row r="90" spans="1:28" ht="5.0999999999999996" customHeight="1"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S90" s="32"/>
      <c r="T90" s="32"/>
      <c r="U90" s="32"/>
      <c r="V90" s="32"/>
      <c r="W90" s="32"/>
      <c r="X90" s="32"/>
      <c r="Y90" s="32"/>
      <c r="Z90" s="32"/>
      <c r="AA90" s="11"/>
      <c r="AB90" s="75"/>
    </row>
    <row r="91" spans="1:28" ht="12.75" customHeight="1">
      <c r="B91" s="36" t="s">
        <v>57</v>
      </c>
      <c r="C91" s="32"/>
      <c r="D91" s="32"/>
      <c r="E91" s="32"/>
      <c r="F91" s="32"/>
      <c r="G91" s="82"/>
      <c r="H91" s="82"/>
      <c r="I91" s="82"/>
      <c r="J91" s="32"/>
      <c r="K91" s="82"/>
      <c r="L91" s="82"/>
      <c r="M91" s="82"/>
      <c r="N91" s="32"/>
      <c r="O91" s="82"/>
      <c r="P91" s="82"/>
      <c r="Q91" s="82"/>
      <c r="S91" s="32"/>
      <c r="T91" s="32"/>
      <c r="U91" s="32"/>
      <c r="V91" s="32"/>
      <c r="W91" s="32"/>
      <c r="X91" s="32"/>
      <c r="Y91" s="32"/>
      <c r="Z91" s="32"/>
      <c r="AA91" s="59"/>
      <c r="AB91" s="75"/>
    </row>
    <row r="92" spans="1:28" ht="12.75" customHeight="1">
      <c r="B92" s="60" t="s">
        <v>138</v>
      </c>
      <c r="C92" s="82"/>
      <c r="D92" s="82"/>
      <c r="E92" s="82"/>
      <c r="F92" s="32"/>
      <c r="G92" s="82"/>
      <c r="H92" s="82"/>
      <c r="I92" s="82"/>
      <c r="J92" s="32">
        <f>SUM(D92-SUM(G92:I92))</f>
        <v>0</v>
      </c>
      <c r="K92" s="82"/>
      <c r="L92" s="82"/>
      <c r="M92" s="82"/>
      <c r="N92" s="32">
        <f>SUM(E92-SUM(K92:M92))</f>
        <v>0</v>
      </c>
      <c r="O92" s="82"/>
      <c r="P92" s="82"/>
      <c r="Q92" s="82"/>
      <c r="S92" s="32">
        <f>SUM(G92:J92)</f>
        <v>0</v>
      </c>
      <c r="T92" s="32">
        <f>SUM(H92:K92)</f>
        <v>0</v>
      </c>
      <c r="U92" s="32">
        <f>SUM(I92:L92)</f>
        <v>0</v>
      </c>
      <c r="V92" s="32">
        <f>SUM(J92:M92)</f>
        <v>0</v>
      </c>
      <c r="W92" s="32">
        <f>SUM(K92:N92)</f>
        <v>0</v>
      </c>
      <c r="X92" s="32">
        <f>SUM(L92:O92)</f>
        <v>0</v>
      </c>
      <c r="Y92" s="32">
        <f>SUM(M92:P92)</f>
        <v>0</v>
      </c>
      <c r="Z92" s="32">
        <f>SUM(N92:Q92)</f>
        <v>0</v>
      </c>
      <c r="AA92" s="11"/>
      <c r="AB92" s="75" t="e">
        <f t="shared" ref="AB92:AB98" si="171">SUM(Z92/V92)-1</f>
        <v>#DIV/0!</v>
      </c>
    </row>
    <row r="93" spans="1:28" ht="12.75" customHeight="1">
      <c r="B93" s="60" t="s">
        <v>139</v>
      </c>
      <c r="C93" s="82"/>
      <c r="D93" s="82"/>
      <c r="E93" s="82"/>
      <c r="F93" s="32"/>
      <c r="G93" s="82"/>
      <c r="H93" s="82"/>
      <c r="I93" s="82"/>
      <c r="J93" s="32">
        <f>SUM(D93-SUM(G93:I93))</f>
        <v>0</v>
      </c>
      <c r="K93" s="82"/>
      <c r="L93" s="82"/>
      <c r="M93" s="82"/>
      <c r="N93" s="32">
        <f>SUM(E93-SUM(K93:M93))</f>
        <v>0</v>
      </c>
      <c r="O93" s="82"/>
      <c r="P93" s="82"/>
      <c r="Q93" s="82"/>
      <c r="S93" s="32">
        <f>SUM(G93:J93)</f>
        <v>0</v>
      </c>
      <c r="T93" s="32">
        <f>SUM(H93:K93)</f>
        <v>0</v>
      </c>
      <c r="U93" s="32">
        <f>SUM(I93:L93)</f>
        <v>0</v>
      </c>
      <c r="V93" s="32">
        <f>SUM(J93:M93)</f>
        <v>0</v>
      </c>
      <c r="W93" s="32">
        <f>SUM(K93:N93)</f>
        <v>0</v>
      </c>
      <c r="X93" s="32">
        <f>SUM(L93:O93)</f>
        <v>0</v>
      </c>
      <c r="Y93" s="32">
        <f>SUM(M93:P93)</f>
        <v>0</v>
      </c>
      <c r="Z93" s="32">
        <f>SUM(N93:Q93)</f>
        <v>0</v>
      </c>
      <c r="AA93" s="11"/>
      <c r="AB93" s="75" t="e">
        <f t="shared" ref="AB93" si="172">SUM(Z93/V93)-1</f>
        <v>#DIV/0!</v>
      </c>
    </row>
    <row r="94" spans="1:28" ht="12.75" customHeight="1">
      <c r="B94" s="60" t="s">
        <v>140</v>
      </c>
      <c r="C94" s="82"/>
      <c r="D94" s="82"/>
      <c r="E94" s="82"/>
      <c r="F94" s="32"/>
      <c r="G94" s="82"/>
      <c r="H94" s="82"/>
      <c r="I94" s="82"/>
      <c r="J94" s="32">
        <f>SUM(D94-SUM(G94:I94))</f>
        <v>0</v>
      </c>
      <c r="K94" s="82"/>
      <c r="L94" s="82"/>
      <c r="M94" s="82"/>
      <c r="N94" s="32">
        <f>SUM(E94-SUM(K94:M94))</f>
        <v>0</v>
      </c>
      <c r="O94" s="82"/>
      <c r="P94" s="82"/>
      <c r="Q94" s="82"/>
      <c r="S94" s="32">
        <f>SUM(G94:J94)</f>
        <v>0</v>
      </c>
      <c r="T94" s="32">
        <f>SUM(H94:K94)</f>
        <v>0</v>
      </c>
      <c r="U94" s="32">
        <f>SUM(I94:L94)</f>
        <v>0</v>
      </c>
      <c r="V94" s="32">
        <f>SUM(J94:M94)</f>
        <v>0</v>
      </c>
      <c r="W94" s="32">
        <f>SUM(K94:N94)</f>
        <v>0</v>
      </c>
      <c r="X94" s="32">
        <f>SUM(L94:O94)</f>
        <v>0</v>
      </c>
      <c r="Y94" s="32">
        <f>SUM(M94:P94)</f>
        <v>0</v>
      </c>
      <c r="Z94" s="32">
        <f>SUM(N94:Q94)</f>
        <v>0</v>
      </c>
      <c r="AA94" s="11"/>
      <c r="AB94" s="75" t="e">
        <f t="shared" si="171"/>
        <v>#DIV/0!</v>
      </c>
    </row>
    <row r="95" spans="1:28" ht="12.75" customHeight="1">
      <c r="B95" s="60" t="s">
        <v>141</v>
      </c>
      <c r="C95" s="82"/>
      <c r="D95" s="82"/>
      <c r="E95" s="82"/>
      <c r="F95" s="32"/>
      <c r="G95" s="82"/>
      <c r="H95" s="82"/>
      <c r="I95" s="82"/>
      <c r="J95" s="32">
        <f>SUM(D95-SUM(G95:I95))</f>
        <v>0</v>
      </c>
      <c r="K95" s="82"/>
      <c r="L95" s="82"/>
      <c r="M95" s="82"/>
      <c r="N95" s="32">
        <f>SUM(E95-SUM(K95:M95))</f>
        <v>0</v>
      </c>
      <c r="O95" s="82"/>
      <c r="P95" s="82"/>
      <c r="Q95" s="82"/>
      <c r="S95" s="32">
        <f>SUM(G95:J95)</f>
        <v>0</v>
      </c>
      <c r="T95" s="32">
        <f>SUM(H95:K95)</f>
        <v>0</v>
      </c>
      <c r="U95" s="32">
        <f>SUM(I95:L95)</f>
        <v>0</v>
      </c>
      <c r="V95" s="32">
        <f>SUM(J95:M95)</f>
        <v>0</v>
      </c>
      <c r="W95" s="32">
        <f>SUM(K95:N95)</f>
        <v>0</v>
      </c>
      <c r="X95" s="32">
        <f>SUM(L95:O95)</f>
        <v>0</v>
      </c>
      <c r="Y95" s="32">
        <f>SUM(M95:P95)</f>
        <v>0</v>
      </c>
      <c r="Z95" s="32">
        <f>SUM(N95:Q95)</f>
        <v>0</v>
      </c>
      <c r="AA95" s="11"/>
      <c r="AB95" s="75" t="e">
        <f t="shared" si="171"/>
        <v>#DIV/0!</v>
      </c>
    </row>
    <row r="96" spans="1:28" ht="12.75" customHeight="1">
      <c r="B96" s="60" t="s">
        <v>142</v>
      </c>
      <c r="C96" s="82"/>
      <c r="D96" s="82"/>
      <c r="E96" s="82"/>
      <c r="F96" s="32"/>
      <c r="G96" s="82"/>
      <c r="H96" s="82"/>
      <c r="I96" s="82"/>
      <c r="J96" s="32">
        <f>SUM(D96-SUM(G96:I96))</f>
        <v>0</v>
      </c>
      <c r="K96" s="82"/>
      <c r="L96" s="82"/>
      <c r="M96" s="82"/>
      <c r="N96" s="32">
        <f>SUM(E96-SUM(K96:M96))</f>
        <v>0</v>
      </c>
      <c r="O96" s="82"/>
      <c r="P96" s="82"/>
      <c r="Q96" s="82"/>
      <c r="S96" s="32">
        <f>SUM(G96:J96)</f>
        <v>0</v>
      </c>
      <c r="T96" s="32">
        <f>SUM(H96:K96)</f>
        <v>0</v>
      </c>
      <c r="U96" s="32">
        <f>SUM(I96:L96)</f>
        <v>0</v>
      </c>
      <c r="V96" s="32">
        <f>SUM(J96:M96)</f>
        <v>0</v>
      </c>
      <c r="W96" s="32">
        <f>SUM(K96:N96)</f>
        <v>0</v>
      </c>
      <c r="X96" s="32">
        <f>SUM(L96:O96)</f>
        <v>0</v>
      </c>
      <c r="Y96" s="32">
        <f>SUM(M96:P96)</f>
        <v>0</v>
      </c>
      <c r="Z96" s="32">
        <f>SUM(N96:Q96)</f>
        <v>0</v>
      </c>
      <c r="AA96" s="11"/>
      <c r="AB96" s="75" t="e">
        <f t="shared" si="171"/>
        <v>#DIV/0!</v>
      </c>
    </row>
    <row r="97" spans="2:28" ht="12.75" customHeight="1">
      <c r="B97" s="60" t="s">
        <v>143</v>
      </c>
      <c r="C97" s="82"/>
      <c r="D97" s="82"/>
      <c r="E97" s="82"/>
      <c r="F97" s="32"/>
      <c r="G97" s="82"/>
      <c r="H97" s="82"/>
      <c r="I97" s="82"/>
      <c r="J97" s="32">
        <f>SUM(D97-SUM(G97:I97))</f>
        <v>0</v>
      </c>
      <c r="K97" s="82"/>
      <c r="L97" s="82"/>
      <c r="M97" s="82"/>
      <c r="N97" s="32">
        <f>SUM(E97-SUM(K97:M97))</f>
        <v>0</v>
      </c>
      <c r="O97" s="82"/>
      <c r="P97" s="82"/>
      <c r="Q97" s="82"/>
      <c r="S97" s="32">
        <f>SUM(G97:J97)</f>
        <v>0</v>
      </c>
      <c r="T97" s="32">
        <f>SUM(H97:K97)</f>
        <v>0</v>
      </c>
      <c r="U97" s="32">
        <f>SUM(I97:L97)</f>
        <v>0</v>
      </c>
      <c r="V97" s="32">
        <f>SUM(J97:M97)</f>
        <v>0</v>
      </c>
      <c r="W97" s="32">
        <f>SUM(K97:N97)</f>
        <v>0</v>
      </c>
      <c r="X97" s="32">
        <f>SUM(L97:O97)</f>
        <v>0</v>
      </c>
      <c r="Y97" s="32">
        <f>SUM(M97:P97)</f>
        <v>0</v>
      </c>
      <c r="Z97" s="32">
        <f>SUM(N97:Q97)</f>
        <v>0</v>
      </c>
      <c r="AA97" s="11"/>
      <c r="AB97" s="75" t="e">
        <f t="shared" si="171"/>
        <v>#DIV/0!</v>
      </c>
    </row>
    <row r="98" spans="2:28" ht="12.75" customHeight="1">
      <c r="B98" s="13" t="s">
        <v>51</v>
      </c>
      <c r="C98" s="14">
        <f t="shared" ref="C98:E98" si="173">SUM(C89:C97)</f>
        <v>6933</v>
      </c>
      <c r="D98" s="14">
        <f t="shared" si="173"/>
        <v>5723</v>
      </c>
      <c r="E98" s="14">
        <f t="shared" si="173"/>
        <v>13402</v>
      </c>
      <c r="G98" s="14">
        <f t="shared" ref="G98:Q98" si="174">SUM(G89:G97)</f>
        <v>1318</v>
      </c>
      <c r="H98" s="14">
        <f t="shared" si="174"/>
        <v>1375</v>
      </c>
      <c r="I98" s="14">
        <f t="shared" si="174"/>
        <v>1436</v>
      </c>
      <c r="J98" s="14">
        <f t="shared" si="174"/>
        <v>1594</v>
      </c>
      <c r="K98" s="14">
        <f t="shared" si="174"/>
        <v>1225</v>
      </c>
      <c r="L98" s="14">
        <f t="shared" si="174"/>
        <v>1302</v>
      </c>
      <c r="M98" s="14">
        <f t="shared" si="174"/>
        <v>1646</v>
      </c>
      <c r="N98" s="14">
        <f t="shared" si="174"/>
        <v>9229</v>
      </c>
      <c r="O98" s="14">
        <f t="shared" si="174"/>
        <v>1325</v>
      </c>
      <c r="P98" s="14">
        <f t="shared" si="174"/>
        <v>1779</v>
      </c>
      <c r="Q98" s="14">
        <f t="shared" si="174"/>
        <v>1644</v>
      </c>
      <c r="S98" s="14">
        <f t="shared" ref="S98:Z98" si="175">SUM(S89:S97)</f>
        <v>5723</v>
      </c>
      <c r="T98" s="14">
        <f t="shared" si="175"/>
        <v>5630</v>
      </c>
      <c r="U98" s="14">
        <f t="shared" si="175"/>
        <v>5557</v>
      </c>
      <c r="V98" s="14">
        <f t="shared" si="175"/>
        <v>5767</v>
      </c>
      <c r="W98" s="14">
        <f t="shared" si="175"/>
        <v>13402</v>
      </c>
      <c r="X98" s="14">
        <f t="shared" si="175"/>
        <v>13502</v>
      </c>
      <c r="Y98" s="14">
        <f t="shared" si="175"/>
        <v>13979</v>
      </c>
      <c r="Z98" s="14">
        <f t="shared" si="175"/>
        <v>13977</v>
      </c>
      <c r="AA98" s="42"/>
      <c r="AB98" s="76">
        <f t="shared" si="171"/>
        <v>1.4236171319576902</v>
      </c>
    </row>
    <row r="99" spans="2:28" ht="12.75" customHeight="1">
      <c r="B99" s="53"/>
      <c r="C99" s="61"/>
      <c r="D99" s="61"/>
      <c r="E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S99" s="42"/>
      <c r="T99" s="42"/>
      <c r="U99" s="42"/>
      <c r="V99" s="42"/>
      <c r="W99" s="42"/>
      <c r="X99" s="42"/>
      <c r="Y99" s="42"/>
      <c r="Z99" s="42"/>
      <c r="AA99" s="42"/>
      <c r="AB99" s="39"/>
    </row>
    <row r="100" spans="2:28" ht="12.75" customHeight="1">
      <c r="B100" s="53" t="s">
        <v>52</v>
      </c>
      <c r="C100" s="58"/>
      <c r="D100" s="58"/>
      <c r="E100" s="58"/>
      <c r="G100" s="82"/>
      <c r="H100" s="82"/>
      <c r="I100" s="82"/>
      <c r="J100" s="32"/>
      <c r="K100" s="82"/>
      <c r="L100" s="82"/>
      <c r="M100" s="82"/>
      <c r="N100" s="32"/>
      <c r="O100" s="58"/>
      <c r="P100" s="58"/>
      <c r="Q100" s="58"/>
      <c r="S100" s="58"/>
      <c r="T100" s="58"/>
      <c r="U100" s="58"/>
      <c r="V100" s="58"/>
      <c r="W100" s="58"/>
      <c r="X100" s="58"/>
      <c r="Y100" s="58"/>
      <c r="Z100" s="58"/>
      <c r="AA100" s="59"/>
      <c r="AB100" s="75"/>
    </row>
    <row r="101" spans="2:28" ht="12.75" customHeight="1">
      <c r="B101" s="60" t="s">
        <v>144</v>
      </c>
      <c r="C101" s="82"/>
      <c r="D101" s="82"/>
      <c r="E101" s="82"/>
      <c r="F101" s="32"/>
      <c r="G101" s="82"/>
      <c r="H101" s="82"/>
      <c r="I101" s="82"/>
      <c r="J101" s="32">
        <f>SUM(D101-SUM(G101:I101))</f>
        <v>0</v>
      </c>
      <c r="K101" s="82"/>
      <c r="L101" s="82"/>
      <c r="M101" s="82"/>
      <c r="N101" s="32">
        <f>SUM(E101-SUM(K101:M101))</f>
        <v>0</v>
      </c>
      <c r="O101" s="82"/>
      <c r="P101" s="82"/>
      <c r="Q101" s="82"/>
      <c r="R101" s="32"/>
      <c r="S101" s="32">
        <f>SUM(G101:J101)</f>
        <v>0</v>
      </c>
      <c r="T101" s="32">
        <f>SUM(H101:K101)</f>
        <v>0</v>
      </c>
      <c r="U101" s="32">
        <f>SUM(I101:L101)</f>
        <v>0</v>
      </c>
      <c r="V101" s="32">
        <f>SUM(J101:M101)</f>
        <v>0</v>
      </c>
      <c r="W101" s="32">
        <f>SUM(K101:N101)</f>
        <v>0</v>
      </c>
      <c r="X101" s="32">
        <f>SUM(L101:O101)</f>
        <v>0</v>
      </c>
      <c r="Y101" s="32">
        <f>SUM(M101:P101)</f>
        <v>0</v>
      </c>
      <c r="Z101" s="32">
        <f>SUM(N101:Q101)</f>
        <v>0</v>
      </c>
      <c r="AA101" s="59"/>
      <c r="AB101" s="75" t="e">
        <f t="shared" ref="AB101:AB104" si="176">SUM(Z101/V101)-1</f>
        <v>#DIV/0!</v>
      </c>
    </row>
    <row r="102" spans="2:28" ht="12.75" customHeight="1">
      <c r="B102" s="60" t="s">
        <v>145</v>
      </c>
      <c r="C102" s="82"/>
      <c r="D102" s="82"/>
      <c r="E102" s="82"/>
      <c r="F102" s="32"/>
      <c r="G102" s="82"/>
      <c r="H102" s="82"/>
      <c r="I102" s="82"/>
      <c r="J102" s="32">
        <f>SUM(D102-SUM(G102:I102))</f>
        <v>0</v>
      </c>
      <c r="K102" s="82"/>
      <c r="L102" s="82"/>
      <c r="M102" s="82"/>
      <c r="N102" s="32">
        <f>SUM(E102-SUM(K102:M102))</f>
        <v>0</v>
      </c>
      <c r="O102" s="82"/>
      <c r="P102" s="82"/>
      <c r="Q102" s="82"/>
      <c r="R102" s="32"/>
      <c r="S102" s="32">
        <f>SUM(G102:J102)</f>
        <v>0</v>
      </c>
      <c r="T102" s="32">
        <f>SUM(H102:K102)</f>
        <v>0</v>
      </c>
      <c r="U102" s="32">
        <f>SUM(I102:L102)</f>
        <v>0</v>
      </c>
      <c r="V102" s="32">
        <f>SUM(J102:M102)</f>
        <v>0</v>
      </c>
      <c r="W102" s="32">
        <f>SUM(K102:N102)</f>
        <v>0</v>
      </c>
      <c r="X102" s="32">
        <f>SUM(L102:O102)</f>
        <v>0</v>
      </c>
      <c r="Y102" s="32">
        <f>SUM(M102:P102)</f>
        <v>0</v>
      </c>
      <c r="Z102" s="32">
        <f>SUM(N102:Q102)</f>
        <v>0</v>
      </c>
      <c r="AA102" s="59"/>
      <c r="AB102" s="75" t="e">
        <f t="shared" si="176"/>
        <v>#DIV/0!</v>
      </c>
    </row>
    <row r="103" spans="2:28" ht="12.75" customHeight="1">
      <c r="B103" s="60" t="s">
        <v>146</v>
      </c>
      <c r="C103" s="82"/>
      <c r="D103" s="82"/>
      <c r="E103" s="82"/>
      <c r="F103" s="32"/>
      <c r="G103" s="82"/>
      <c r="H103" s="82"/>
      <c r="I103" s="82"/>
      <c r="J103" s="32">
        <f>SUM(D103-SUM(G103:I103))</f>
        <v>0</v>
      </c>
      <c r="K103" s="82"/>
      <c r="L103" s="82"/>
      <c r="M103" s="82"/>
      <c r="N103" s="32">
        <f>SUM(E103-SUM(K103:M103))</f>
        <v>0</v>
      </c>
      <c r="O103" s="82"/>
      <c r="P103" s="82"/>
      <c r="Q103" s="82"/>
      <c r="R103" s="32"/>
      <c r="S103" s="32">
        <f>SUM(G103:J103)</f>
        <v>0</v>
      </c>
      <c r="T103" s="32">
        <f>SUM(H103:K103)</f>
        <v>0</v>
      </c>
      <c r="U103" s="32">
        <f>SUM(I103:L103)</f>
        <v>0</v>
      </c>
      <c r="V103" s="32">
        <f>SUM(J103:M103)</f>
        <v>0</v>
      </c>
      <c r="W103" s="32">
        <f>SUM(K103:N103)</f>
        <v>0</v>
      </c>
      <c r="X103" s="32">
        <f>SUM(L103:O103)</f>
        <v>0</v>
      </c>
      <c r="Y103" s="32">
        <f>SUM(M103:P103)</f>
        <v>0</v>
      </c>
      <c r="Z103" s="32">
        <f>SUM(N103:Q103)</f>
        <v>0</v>
      </c>
      <c r="AA103" s="59"/>
      <c r="AB103" s="75" t="e">
        <f t="shared" si="176"/>
        <v>#DIV/0!</v>
      </c>
    </row>
    <row r="104" spans="2:28" ht="12.75" customHeight="1">
      <c r="B104" s="60" t="s">
        <v>147</v>
      </c>
      <c r="C104" s="82"/>
      <c r="D104" s="82"/>
      <c r="E104" s="82"/>
      <c r="F104" s="32"/>
      <c r="G104" s="82"/>
      <c r="H104" s="82"/>
      <c r="I104" s="82"/>
      <c r="J104" s="32">
        <f>SUM(D104-SUM(G104:I104))</f>
        <v>0</v>
      </c>
      <c r="K104" s="82"/>
      <c r="L104" s="82"/>
      <c r="M104" s="82"/>
      <c r="N104" s="32">
        <f>SUM(E104-SUM(K104:M104))</f>
        <v>0</v>
      </c>
      <c r="O104" s="82"/>
      <c r="P104" s="82"/>
      <c r="Q104" s="82"/>
      <c r="R104" s="32"/>
      <c r="S104" s="32">
        <f>SUM(G104:J104)</f>
        <v>0</v>
      </c>
      <c r="T104" s="32">
        <f>SUM(H104:K104)</f>
        <v>0</v>
      </c>
      <c r="U104" s="32">
        <f>SUM(I104:L104)</f>
        <v>0</v>
      </c>
      <c r="V104" s="32">
        <f>SUM(J104:M104)</f>
        <v>0</v>
      </c>
      <c r="W104" s="32">
        <f>SUM(K104:N104)</f>
        <v>0</v>
      </c>
      <c r="X104" s="32">
        <f>SUM(L104:O104)</f>
        <v>0</v>
      </c>
      <c r="Y104" s="32">
        <f>SUM(M104:P104)</f>
        <v>0</v>
      </c>
      <c r="Z104" s="32">
        <f>SUM(N104:Q104)</f>
        <v>0</v>
      </c>
      <c r="AA104" s="59"/>
      <c r="AB104" s="75" t="e">
        <f t="shared" si="176"/>
        <v>#DIV/0!</v>
      </c>
    </row>
    <row r="105" spans="2:28" ht="12.75" customHeight="1">
      <c r="B105" s="13" t="s">
        <v>53</v>
      </c>
      <c r="C105" s="14">
        <f t="shared" ref="C105:E105" si="177">SUM(C101:C104)</f>
        <v>0</v>
      </c>
      <c r="D105" s="14">
        <f t="shared" si="177"/>
        <v>0</v>
      </c>
      <c r="E105" s="14">
        <f t="shared" si="177"/>
        <v>0</v>
      </c>
      <c r="G105" s="14">
        <f t="shared" ref="G105:Q105" si="178">SUM(G101:G104)</f>
        <v>0</v>
      </c>
      <c r="H105" s="14">
        <f t="shared" si="178"/>
        <v>0</v>
      </c>
      <c r="I105" s="14">
        <f t="shared" si="178"/>
        <v>0</v>
      </c>
      <c r="J105" s="14">
        <f t="shared" si="178"/>
        <v>0</v>
      </c>
      <c r="K105" s="14">
        <f t="shared" si="178"/>
        <v>0</v>
      </c>
      <c r="L105" s="14">
        <f t="shared" si="178"/>
        <v>0</v>
      </c>
      <c r="M105" s="14">
        <f t="shared" si="178"/>
        <v>0</v>
      </c>
      <c r="N105" s="14">
        <f t="shared" si="178"/>
        <v>0</v>
      </c>
      <c r="O105" s="14">
        <f t="shared" si="178"/>
        <v>0</v>
      </c>
      <c r="P105" s="14">
        <f t="shared" si="178"/>
        <v>0</v>
      </c>
      <c r="Q105" s="14">
        <f t="shared" si="178"/>
        <v>0</v>
      </c>
      <c r="S105" s="14">
        <f t="shared" ref="S105:Z105" si="179">SUM(S104:S104)</f>
        <v>0</v>
      </c>
      <c r="T105" s="14">
        <f t="shared" si="179"/>
        <v>0</v>
      </c>
      <c r="U105" s="14">
        <f t="shared" si="179"/>
        <v>0</v>
      </c>
      <c r="V105" s="14">
        <f t="shared" si="179"/>
        <v>0</v>
      </c>
      <c r="W105" s="14">
        <f t="shared" si="179"/>
        <v>0</v>
      </c>
      <c r="X105" s="14">
        <f t="shared" si="179"/>
        <v>0</v>
      </c>
      <c r="Y105" s="14">
        <f t="shared" si="179"/>
        <v>0</v>
      </c>
      <c r="Z105" s="14">
        <f t="shared" si="179"/>
        <v>0</v>
      </c>
      <c r="AA105" s="42"/>
      <c r="AB105" s="76" t="e">
        <f t="shared" ref="AB105:AB111" si="180">SUM(Z105/V105)-1</f>
        <v>#DIV/0!</v>
      </c>
    </row>
    <row r="106" spans="2:28" ht="5.0999999999999996" customHeight="1">
      <c r="B106" s="52"/>
      <c r="C106" s="61"/>
      <c r="D106" s="61"/>
      <c r="E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S106" s="42"/>
      <c r="T106" s="42"/>
      <c r="U106" s="42"/>
      <c r="V106" s="42"/>
      <c r="W106" s="42"/>
      <c r="X106" s="42"/>
      <c r="Y106" s="42"/>
      <c r="Z106" s="42"/>
      <c r="AA106" s="42"/>
      <c r="AB106" s="39"/>
    </row>
    <row r="107" spans="2:28" ht="12.75" customHeight="1">
      <c r="B107" s="53" t="s">
        <v>54</v>
      </c>
      <c r="C107" s="63"/>
      <c r="D107" s="63"/>
      <c r="E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32"/>
      <c r="S107" s="32"/>
      <c r="T107" s="32"/>
      <c r="U107" s="32"/>
      <c r="V107" s="32"/>
      <c r="W107" s="32"/>
      <c r="X107" s="32"/>
      <c r="Y107" s="32"/>
      <c r="Z107" s="32"/>
      <c r="AA107" s="64"/>
      <c r="AB107" s="75"/>
    </row>
    <row r="108" spans="2:28" ht="12.75" customHeight="1">
      <c r="B108" s="84" t="s">
        <v>148</v>
      </c>
      <c r="C108" s="82"/>
      <c r="D108" s="82"/>
      <c r="E108" s="82"/>
      <c r="G108" s="82"/>
      <c r="H108" s="82"/>
      <c r="I108" s="82"/>
      <c r="J108" s="32">
        <f>SUM(D108-SUM(G108:I108))</f>
        <v>0</v>
      </c>
      <c r="K108" s="82"/>
      <c r="L108" s="82"/>
      <c r="M108" s="82"/>
      <c r="N108" s="32">
        <f>SUM(E108-SUM(K108:M108))</f>
        <v>0</v>
      </c>
      <c r="O108" s="82"/>
      <c r="P108" s="82"/>
      <c r="Q108" s="82"/>
      <c r="R108" s="32"/>
      <c r="S108" s="32">
        <f>SUM(G108:J108)</f>
        <v>0</v>
      </c>
      <c r="T108" s="32">
        <f>SUM(H108:K108)</f>
        <v>0</v>
      </c>
      <c r="U108" s="32">
        <f>SUM(I108:L108)</f>
        <v>0</v>
      </c>
      <c r="V108" s="32">
        <f>SUM(J108:M108)</f>
        <v>0</v>
      </c>
      <c r="W108" s="32">
        <f>SUM(K108:N108)</f>
        <v>0</v>
      </c>
      <c r="X108" s="32">
        <f>SUM(L108:O108)</f>
        <v>0</v>
      </c>
      <c r="Y108" s="32">
        <f>SUM(M108:P108)</f>
        <v>0</v>
      </c>
      <c r="Z108" s="32">
        <f>SUM(N108:Q108)</f>
        <v>0</v>
      </c>
      <c r="AA108" s="64"/>
      <c r="AB108" s="75" t="e">
        <f t="shared" si="180"/>
        <v>#DIV/0!</v>
      </c>
    </row>
    <row r="109" spans="2:28" ht="12.75" customHeight="1">
      <c r="B109" s="84" t="s">
        <v>149</v>
      </c>
      <c r="C109" s="82"/>
      <c r="D109" s="82"/>
      <c r="E109" s="82"/>
      <c r="G109" s="82"/>
      <c r="H109" s="82"/>
      <c r="I109" s="82"/>
      <c r="J109" s="32">
        <f>SUM(D109-SUM(G109:I109))</f>
        <v>0</v>
      </c>
      <c r="K109" s="82"/>
      <c r="L109" s="82"/>
      <c r="M109" s="82"/>
      <c r="N109" s="32">
        <f>SUM(E109-SUM(K109:M109))</f>
        <v>0</v>
      </c>
      <c r="O109" s="82"/>
      <c r="P109" s="82"/>
      <c r="Q109" s="82"/>
      <c r="R109" s="32"/>
      <c r="S109" s="32">
        <f>SUM(G109:J109)</f>
        <v>0</v>
      </c>
      <c r="T109" s="32">
        <f>SUM(H109:K109)</f>
        <v>0</v>
      </c>
      <c r="U109" s="32">
        <f>SUM(I109:L109)</f>
        <v>0</v>
      </c>
      <c r="V109" s="32">
        <f>SUM(J109:M109)</f>
        <v>0</v>
      </c>
      <c r="W109" s="32">
        <f>SUM(K109:N109)</f>
        <v>0</v>
      </c>
      <c r="X109" s="32">
        <f>SUM(L109:O109)</f>
        <v>0</v>
      </c>
      <c r="Y109" s="32">
        <f>SUM(M109:P109)</f>
        <v>0</v>
      </c>
      <c r="Z109" s="32">
        <f>SUM(N109:Q109)</f>
        <v>0</v>
      </c>
      <c r="AA109" s="64"/>
      <c r="AB109" s="75" t="e">
        <f t="shared" ref="AB109" si="181">SUM(Z109/V109)-1</f>
        <v>#DIV/0!</v>
      </c>
    </row>
    <row r="110" spans="2:28" ht="12.75" customHeight="1">
      <c r="B110" s="84" t="s">
        <v>150</v>
      </c>
      <c r="C110" s="82"/>
      <c r="D110" s="82"/>
      <c r="E110" s="82"/>
      <c r="G110" s="82"/>
      <c r="H110" s="82"/>
      <c r="I110" s="82"/>
      <c r="J110" s="32">
        <f>SUM(D110-SUM(G110:I110))</f>
        <v>0</v>
      </c>
      <c r="K110" s="82"/>
      <c r="L110" s="82"/>
      <c r="M110" s="82"/>
      <c r="N110" s="32">
        <f>SUM(E110-SUM(K110:M110))</f>
        <v>0</v>
      </c>
      <c r="O110" s="82"/>
      <c r="P110" s="82"/>
      <c r="Q110" s="82"/>
      <c r="R110" s="32"/>
      <c r="S110" s="32">
        <f>SUM(G110:J110)</f>
        <v>0</v>
      </c>
      <c r="T110" s="32">
        <f>SUM(H110:K110)</f>
        <v>0</v>
      </c>
      <c r="U110" s="32">
        <f>SUM(I110:L110)</f>
        <v>0</v>
      </c>
      <c r="V110" s="32">
        <f>SUM(J110:M110)</f>
        <v>0</v>
      </c>
      <c r="W110" s="32">
        <f>SUM(K110:N110)</f>
        <v>0</v>
      </c>
      <c r="X110" s="32">
        <f>SUM(L110:O110)</f>
        <v>0</v>
      </c>
      <c r="Y110" s="32">
        <f>SUM(M110:P110)</f>
        <v>0</v>
      </c>
      <c r="Z110" s="32">
        <f>SUM(N110:Q110)</f>
        <v>0</v>
      </c>
      <c r="AA110" s="64"/>
      <c r="AB110" s="75" t="e">
        <f t="shared" si="180"/>
        <v>#DIV/0!</v>
      </c>
    </row>
    <row r="111" spans="2:28" ht="12.75" customHeight="1">
      <c r="B111" s="13" t="s">
        <v>55</v>
      </c>
      <c r="C111" s="14">
        <f t="shared" ref="C111:E111" si="182">SUM(C108:C110)</f>
        <v>0</v>
      </c>
      <c r="D111" s="14">
        <f t="shared" si="182"/>
        <v>0</v>
      </c>
      <c r="E111" s="14">
        <f t="shared" si="182"/>
        <v>0</v>
      </c>
      <c r="G111" s="14">
        <f t="shared" ref="G111:Q111" si="183">SUM(G108:G110)</f>
        <v>0</v>
      </c>
      <c r="H111" s="14">
        <f t="shared" si="183"/>
        <v>0</v>
      </c>
      <c r="I111" s="14">
        <f t="shared" si="183"/>
        <v>0</v>
      </c>
      <c r="J111" s="14">
        <f t="shared" si="183"/>
        <v>0</v>
      </c>
      <c r="K111" s="14">
        <f t="shared" si="183"/>
        <v>0</v>
      </c>
      <c r="L111" s="14">
        <f t="shared" si="183"/>
        <v>0</v>
      </c>
      <c r="M111" s="14">
        <f t="shared" si="183"/>
        <v>0</v>
      </c>
      <c r="N111" s="14">
        <f t="shared" si="183"/>
        <v>0</v>
      </c>
      <c r="O111" s="14">
        <f t="shared" si="183"/>
        <v>0</v>
      </c>
      <c r="P111" s="14">
        <f t="shared" si="183"/>
        <v>0</v>
      </c>
      <c r="Q111" s="14">
        <f t="shared" si="183"/>
        <v>0</v>
      </c>
      <c r="S111" s="14">
        <f t="shared" ref="S111:Z111" si="184">SUM(S108:S110)</f>
        <v>0</v>
      </c>
      <c r="T111" s="14">
        <f t="shared" si="184"/>
        <v>0</v>
      </c>
      <c r="U111" s="14">
        <f t="shared" si="184"/>
        <v>0</v>
      </c>
      <c r="V111" s="14">
        <f t="shared" si="184"/>
        <v>0</v>
      </c>
      <c r="W111" s="14">
        <f t="shared" si="184"/>
        <v>0</v>
      </c>
      <c r="X111" s="14">
        <f t="shared" si="184"/>
        <v>0</v>
      </c>
      <c r="Y111" s="14">
        <f t="shared" si="184"/>
        <v>0</v>
      </c>
      <c r="Z111" s="14">
        <f t="shared" si="184"/>
        <v>0</v>
      </c>
      <c r="AA111" s="42"/>
      <c r="AB111" s="76" t="e">
        <f t="shared" si="180"/>
        <v>#DIV/0!</v>
      </c>
    </row>
    <row r="112" spans="2:28" ht="5.0999999999999996" customHeight="1">
      <c r="B112" s="71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11"/>
      <c r="AB112" s="45"/>
    </row>
    <row r="113" spans="2:28">
      <c r="B113" s="92" t="s">
        <v>81</v>
      </c>
      <c r="C113" s="93"/>
      <c r="D113" s="93">
        <f t="shared" ref="D113:E113" si="185">C120</f>
        <v>6933</v>
      </c>
      <c r="E113" s="93">
        <f t="shared" si="185"/>
        <v>12656</v>
      </c>
      <c r="F113" s="93"/>
      <c r="G113" s="93"/>
      <c r="H113" s="93">
        <f t="shared" ref="H113:Q113" si="186">G120</f>
        <v>1318</v>
      </c>
      <c r="I113" s="93">
        <f t="shared" si="186"/>
        <v>2693</v>
      </c>
      <c r="J113" s="93">
        <f t="shared" si="186"/>
        <v>4129</v>
      </c>
      <c r="K113" s="93">
        <f t="shared" si="186"/>
        <v>5723</v>
      </c>
      <c r="L113" s="93">
        <f t="shared" si="186"/>
        <v>6948</v>
      </c>
      <c r="M113" s="93">
        <f t="shared" si="186"/>
        <v>8250</v>
      </c>
      <c r="N113" s="93">
        <f t="shared" si="186"/>
        <v>9896</v>
      </c>
      <c r="O113" s="93">
        <f t="shared" si="186"/>
        <v>19125</v>
      </c>
      <c r="P113" s="93">
        <f t="shared" si="186"/>
        <v>20450</v>
      </c>
      <c r="Q113" s="93">
        <f t="shared" si="186"/>
        <v>22229</v>
      </c>
      <c r="R113" s="93"/>
      <c r="S113" s="93"/>
      <c r="T113" s="93">
        <f t="shared" ref="T113:Z113" si="187">G120</f>
        <v>1318</v>
      </c>
      <c r="U113" s="93">
        <f t="shared" si="187"/>
        <v>2693</v>
      </c>
      <c r="V113" s="93">
        <f t="shared" si="187"/>
        <v>4129</v>
      </c>
      <c r="W113" s="93">
        <f t="shared" si="187"/>
        <v>5723</v>
      </c>
      <c r="X113" s="93">
        <f t="shared" si="187"/>
        <v>6948</v>
      </c>
      <c r="Y113" s="93">
        <f t="shared" si="187"/>
        <v>8250</v>
      </c>
      <c r="Z113" s="140">
        <f t="shared" si="187"/>
        <v>9896</v>
      </c>
      <c r="AA113" s="11"/>
      <c r="AB113" s="45"/>
    </row>
    <row r="114" spans="2:28">
      <c r="B114" s="130" t="s">
        <v>94</v>
      </c>
      <c r="C114" s="32"/>
      <c r="D114" s="32">
        <f t="shared" ref="D114:E114" si="188">-C118</f>
        <v>0</v>
      </c>
      <c r="E114" s="32">
        <f t="shared" si="188"/>
        <v>0</v>
      </c>
      <c r="F114" s="32"/>
      <c r="G114" s="32"/>
      <c r="H114" s="32">
        <f t="shared" ref="H114:Q114" si="189">-G118</f>
        <v>0</v>
      </c>
      <c r="I114" s="32">
        <f t="shared" si="189"/>
        <v>0</v>
      </c>
      <c r="J114" s="32">
        <f t="shared" si="189"/>
        <v>0</v>
      </c>
      <c r="K114" s="32">
        <f t="shared" si="189"/>
        <v>0</v>
      </c>
      <c r="L114" s="32">
        <f t="shared" si="189"/>
        <v>0</v>
      </c>
      <c r="M114" s="32">
        <f t="shared" si="189"/>
        <v>0</v>
      </c>
      <c r="N114" s="32">
        <f t="shared" si="189"/>
        <v>0</v>
      </c>
      <c r="O114" s="32">
        <f t="shared" si="189"/>
        <v>0</v>
      </c>
      <c r="P114" s="32">
        <f t="shared" si="189"/>
        <v>0</v>
      </c>
      <c r="Q114" s="32">
        <f t="shared" si="189"/>
        <v>0</v>
      </c>
      <c r="R114" s="32"/>
      <c r="S114" s="32">
        <f>D114</f>
        <v>0</v>
      </c>
      <c r="T114" s="32">
        <f>-G118</f>
        <v>0</v>
      </c>
      <c r="U114" s="32">
        <f>-H118</f>
        <v>0</v>
      </c>
      <c r="V114" s="32">
        <f>-I118</f>
        <v>0</v>
      </c>
      <c r="W114" s="32">
        <f>-J118</f>
        <v>0</v>
      </c>
      <c r="X114" s="32">
        <f>-K118</f>
        <v>0</v>
      </c>
      <c r="Y114" s="32">
        <f>-L118</f>
        <v>0</v>
      </c>
      <c r="Z114" s="134">
        <f>-M118</f>
        <v>0</v>
      </c>
      <c r="AA114" s="11"/>
      <c r="AB114" s="45"/>
    </row>
    <row r="115" spans="2:28">
      <c r="B115" s="145" t="s">
        <v>68</v>
      </c>
      <c r="C115" s="146">
        <f t="shared" ref="C115:E115" si="190">SUM(C113:C114)</f>
        <v>0</v>
      </c>
      <c r="D115" s="146">
        <f t="shared" si="190"/>
        <v>6933</v>
      </c>
      <c r="E115" s="146">
        <f t="shared" si="190"/>
        <v>12656</v>
      </c>
      <c r="F115" s="32"/>
      <c r="G115" s="146">
        <f t="shared" ref="G115:Q115" si="191">SUM(G113:G114)</f>
        <v>0</v>
      </c>
      <c r="H115" s="146">
        <f t="shared" si="191"/>
        <v>1318</v>
      </c>
      <c r="I115" s="146">
        <f t="shared" si="191"/>
        <v>2693</v>
      </c>
      <c r="J115" s="146">
        <f t="shared" si="191"/>
        <v>4129</v>
      </c>
      <c r="K115" s="146">
        <f t="shared" si="191"/>
        <v>5723</v>
      </c>
      <c r="L115" s="146">
        <f t="shared" si="191"/>
        <v>6948</v>
      </c>
      <c r="M115" s="146">
        <f t="shared" si="191"/>
        <v>8250</v>
      </c>
      <c r="N115" s="146">
        <f t="shared" si="191"/>
        <v>9896</v>
      </c>
      <c r="O115" s="146">
        <f t="shared" si="191"/>
        <v>19125</v>
      </c>
      <c r="P115" s="146">
        <f t="shared" si="191"/>
        <v>20450</v>
      </c>
      <c r="Q115" s="146">
        <f t="shared" si="191"/>
        <v>22229</v>
      </c>
      <c r="R115" s="32"/>
      <c r="S115" s="133">
        <f t="shared" ref="S115:Z115" si="192">SUM(S113:S114)</f>
        <v>0</v>
      </c>
      <c r="T115" s="133">
        <f t="shared" si="192"/>
        <v>1318</v>
      </c>
      <c r="U115" s="133">
        <f t="shared" si="192"/>
        <v>2693</v>
      </c>
      <c r="V115" s="146">
        <f t="shared" si="192"/>
        <v>4129</v>
      </c>
      <c r="W115" s="146">
        <f t="shared" si="192"/>
        <v>5723</v>
      </c>
      <c r="X115" s="146">
        <f t="shared" si="192"/>
        <v>6948</v>
      </c>
      <c r="Y115" s="146">
        <f t="shared" si="192"/>
        <v>8250</v>
      </c>
      <c r="Z115" s="147">
        <f t="shared" si="192"/>
        <v>9896</v>
      </c>
      <c r="AA115" s="11"/>
      <c r="AB115" s="45"/>
    </row>
    <row r="116" spans="2:28" ht="5.0999999999999996" customHeight="1">
      <c r="B116" s="137"/>
      <c r="C116" s="71"/>
      <c r="D116" s="71"/>
      <c r="E116" s="71"/>
      <c r="F116" s="32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32"/>
      <c r="S116" s="71"/>
      <c r="T116" s="71"/>
      <c r="U116" s="71"/>
      <c r="V116" s="71"/>
      <c r="W116" s="71"/>
      <c r="X116" s="71"/>
      <c r="Y116" s="71"/>
      <c r="Z116" s="135"/>
      <c r="AA116" s="11"/>
      <c r="AB116" s="45"/>
    </row>
    <row r="117" spans="2:28">
      <c r="B117" s="130" t="s">
        <v>82</v>
      </c>
      <c r="C117" s="82"/>
      <c r="D117" s="82"/>
      <c r="E117" s="82"/>
      <c r="F117" s="32"/>
      <c r="G117" s="82"/>
      <c r="H117" s="82"/>
      <c r="I117" s="82"/>
      <c r="J117" s="32">
        <f>SUM(D117-SUM(G117:I117))</f>
        <v>0</v>
      </c>
      <c r="K117" s="82"/>
      <c r="L117" s="82"/>
      <c r="M117" s="82"/>
      <c r="N117" s="32">
        <f>SUM(E117-SUM(K117:M117))</f>
        <v>0</v>
      </c>
      <c r="O117" s="82"/>
      <c r="P117" s="82"/>
      <c r="Q117" s="82"/>
      <c r="R117" s="32"/>
      <c r="S117" s="32">
        <f>SUM(G117:J117)</f>
        <v>0</v>
      </c>
      <c r="T117" s="32">
        <f>SUM(H117:K117)</f>
        <v>0</v>
      </c>
      <c r="U117" s="32">
        <f>SUM(I117:L117)</f>
        <v>0</v>
      </c>
      <c r="V117" s="32">
        <f>SUM(J117:M117)</f>
        <v>0</v>
      </c>
      <c r="W117" s="32">
        <f>SUM(K117:N117)</f>
        <v>0</v>
      </c>
      <c r="X117" s="32">
        <f>SUM(L117:O117)</f>
        <v>0</v>
      </c>
      <c r="Y117" s="32">
        <f>SUM(M117:P117)</f>
        <v>0</v>
      </c>
      <c r="Z117" s="134">
        <f>SUM(N117:Q117)</f>
        <v>0</v>
      </c>
      <c r="AA117" s="11"/>
      <c r="AB117" s="45"/>
    </row>
    <row r="118" spans="2:28">
      <c r="B118" s="130" t="s">
        <v>92</v>
      </c>
      <c r="C118" s="82"/>
      <c r="D118" s="82"/>
      <c r="E118" s="82"/>
      <c r="F118" s="32"/>
      <c r="G118" s="82"/>
      <c r="H118" s="82"/>
      <c r="I118" s="82"/>
      <c r="J118" s="32">
        <f>D118</f>
        <v>0</v>
      </c>
      <c r="K118" s="82"/>
      <c r="L118" s="82"/>
      <c r="M118" s="82"/>
      <c r="N118" s="32">
        <f>E118</f>
        <v>0</v>
      </c>
      <c r="O118" s="82"/>
      <c r="P118" s="82"/>
      <c r="Q118" s="82"/>
      <c r="R118" s="32"/>
      <c r="S118" s="32">
        <f t="shared" ref="S118:Z118" si="193">J118</f>
        <v>0</v>
      </c>
      <c r="T118" s="32">
        <f t="shared" si="193"/>
        <v>0</v>
      </c>
      <c r="U118" s="32">
        <f t="shared" si="193"/>
        <v>0</v>
      </c>
      <c r="V118" s="32">
        <f t="shared" si="193"/>
        <v>0</v>
      </c>
      <c r="W118" s="32">
        <f t="shared" si="193"/>
        <v>0</v>
      </c>
      <c r="X118" s="32">
        <f t="shared" si="193"/>
        <v>0</v>
      </c>
      <c r="Y118" s="32">
        <f t="shared" si="193"/>
        <v>0</v>
      </c>
      <c r="Z118" s="134">
        <f t="shared" si="193"/>
        <v>0</v>
      </c>
      <c r="AA118" s="11"/>
      <c r="AB118" s="45"/>
    </row>
    <row r="119" spans="2:28">
      <c r="B119" s="130" t="s">
        <v>59</v>
      </c>
      <c r="C119" s="32">
        <f t="shared" ref="C119:E119" si="194">+C111+C105+C98</f>
        <v>6933</v>
      </c>
      <c r="D119" s="32">
        <f t="shared" si="194"/>
        <v>5723</v>
      </c>
      <c r="E119" s="32">
        <f t="shared" si="194"/>
        <v>13402</v>
      </c>
      <c r="F119" s="32"/>
      <c r="G119" s="32">
        <f t="shared" ref="G119:Q119" si="195">+G111+G105+G98</f>
        <v>1318</v>
      </c>
      <c r="H119" s="32">
        <f t="shared" si="195"/>
        <v>1375</v>
      </c>
      <c r="I119" s="32">
        <f t="shared" si="195"/>
        <v>1436</v>
      </c>
      <c r="J119" s="32">
        <f t="shared" si="195"/>
        <v>1594</v>
      </c>
      <c r="K119" s="32">
        <f t="shared" si="195"/>
        <v>1225</v>
      </c>
      <c r="L119" s="32">
        <f t="shared" si="195"/>
        <v>1302</v>
      </c>
      <c r="M119" s="32">
        <f t="shared" si="195"/>
        <v>1646</v>
      </c>
      <c r="N119" s="32">
        <f t="shared" si="195"/>
        <v>9229</v>
      </c>
      <c r="O119" s="32">
        <f t="shared" si="195"/>
        <v>1325</v>
      </c>
      <c r="P119" s="32">
        <f t="shared" si="195"/>
        <v>1779</v>
      </c>
      <c r="Q119" s="32">
        <f t="shared" si="195"/>
        <v>1644</v>
      </c>
      <c r="R119" s="32"/>
      <c r="S119" s="32">
        <f>SUM(G119:J119)</f>
        <v>5723</v>
      </c>
      <c r="T119" s="32">
        <f>SUM(H119:K119)</f>
        <v>5630</v>
      </c>
      <c r="U119" s="32">
        <f>SUM(I119:L119)</f>
        <v>5557</v>
      </c>
      <c r="V119" s="32">
        <f>SUM(J119:M119)</f>
        <v>5767</v>
      </c>
      <c r="W119" s="32">
        <f>SUM(K119:N119)</f>
        <v>13402</v>
      </c>
      <c r="X119" s="32">
        <f>SUM(L119:O119)</f>
        <v>13502</v>
      </c>
      <c r="Y119" s="32">
        <f>SUM(M119:P119)</f>
        <v>13979</v>
      </c>
      <c r="Z119" s="134">
        <f>SUM(N119:Q119)</f>
        <v>13977</v>
      </c>
      <c r="AA119" s="11"/>
      <c r="AB119" s="45"/>
    </row>
    <row r="120" spans="2:28">
      <c r="B120" s="89" t="s">
        <v>69</v>
      </c>
      <c r="C120" s="146">
        <f t="shared" ref="C120:E120" si="196">SUM(C115:C119)</f>
        <v>6933</v>
      </c>
      <c r="D120" s="146">
        <f t="shared" si="196"/>
        <v>12656</v>
      </c>
      <c r="E120" s="146">
        <f t="shared" si="196"/>
        <v>26058</v>
      </c>
      <c r="F120" s="32"/>
      <c r="G120" s="146">
        <f t="shared" ref="G120:Q120" si="197">SUM(G115:G119)</f>
        <v>1318</v>
      </c>
      <c r="H120" s="146">
        <f t="shared" si="197"/>
        <v>2693</v>
      </c>
      <c r="I120" s="146">
        <f t="shared" si="197"/>
        <v>4129</v>
      </c>
      <c r="J120" s="146">
        <f t="shared" si="197"/>
        <v>5723</v>
      </c>
      <c r="K120" s="146">
        <f t="shared" si="197"/>
        <v>6948</v>
      </c>
      <c r="L120" s="146">
        <f t="shared" si="197"/>
        <v>8250</v>
      </c>
      <c r="M120" s="146">
        <f t="shared" si="197"/>
        <v>9896</v>
      </c>
      <c r="N120" s="146">
        <f t="shared" si="197"/>
        <v>19125</v>
      </c>
      <c r="O120" s="146">
        <f t="shared" si="197"/>
        <v>20450</v>
      </c>
      <c r="P120" s="146">
        <f t="shared" si="197"/>
        <v>22229</v>
      </c>
      <c r="Q120" s="146">
        <f t="shared" si="197"/>
        <v>23873</v>
      </c>
      <c r="R120" s="32"/>
      <c r="S120" s="133">
        <f t="shared" ref="S120:Z120" si="198">SUM(S115:S119)</f>
        <v>5723</v>
      </c>
      <c r="T120" s="133">
        <f t="shared" si="198"/>
        <v>6948</v>
      </c>
      <c r="U120" s="133">
        <f t="shared" si="198"/>
        <v>8250</v>
      </c>
      <c r="V120" s="146">
        <f t="shared" si="198"/>
        <v>9896</v>
      </c>
      <c r="W120" s="146">
        <f t="shared" si="198"/>
        <v>19125</v>
      </c>
      <c r="X120" s="146">
        <f t="shared" si="198"/>
        <v>20450</v>
      </c>
      <c r="Y120" s="146">
        <f t="shared" si="198"/>
        <v>22229</v>
      </c>
      <c r="Z120" s="147">
        <f t="shared" si="198"/>
        <v>23873</v>
      </c>
      <c r="AA120" s="11"/>
      <c r="AB120" s="45"/>
    </row>
    <row r="121" spans="2:28" ht="5.0999999999999996" customHeight="1">
      <c r="B121" s="90"/>
      <c r="C121" s="65"/>
      <c r="D121" s="65"/>
      <c r="E121" s="65"/>
      <c r="F121" s="32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S121" s="11"/>
      <c r="T121" s="11"/>
      <c r="U121" s="11"/>
      <c r="V121" s="11"/>
      <c r="W121" s="11"/>
      <c r="X121" s="11"/>
      <c r="Y121" s="11"/>
      <c r="Z121" s="91"/>
      <c r="AA121" s="11"/>
      <c r="AB121" s="45"/>
    </row>
    <row r="122" spans="2:28">
      <c r="B122" s="138" t="s">
        <v>85</v>
      </c>
      <c r="C122" s="87">
        <f>ROUND(C120-C45,1)</f>
        <v>-2949</v>
      </c>
      <c r="D122" s="87">
        <f>ROUND(D120-D45,1)</f>
        <v>5760</v>
      </c>
      <c r="E122" s="87">
        <f>ROUND(E120-E45,1)</f>
        <v>18442</v>
      </c>
      <c r="F122" s="88"/>
      <c r="G122" s="87">
        <f>G120-G45</f>
        <v>-7843</v>
      </c>
      <c r="H122" s="87">
        <f>H120-H45</f>
        <v>-5142</v>
      </c>
      <c r="I122" s="87">
        <f>I120-I45</f>
        <v>-2580</v>
      </c>
      <c r="J122" s="87">
        <f>J120-J45</f>
        <v>-1173</v>
      </c>
      <c r="K122" s="87">
        <f>K120-K45</f>
        <v>664</v>
      </c>
      <c r="L122" s="87">
        <f>L120-L45</f>
        <v>1263</v>
      </c>
      <c r="M122" s="87">
        <f>M120-M45</f>
        <v>2338</v>
      </c>
      <c r="N122" s="87">
        <f>N120-N45</f>
        <v>11509</v>
      </c>
      <c r="O122" s="87">
        <f>O120-O45</f>
        <v>13918</v>
      </c>
      <c r="P122" s="87">
        <f>P120-P45</f>
        <v>15278</v>
      </c>
      <c r="Q122" s="87">
        <f>Q120-Q45</f>
        <v>16362</v>
      </c>
      <c r="R122" s="87"/>
      <c r="S122" s="87">
        <f>S120-S45</f>
        <v>-1173</v>
      </c>
      <c r="T122" s="87">
        <f>T120-T45</f>
        <v>664</v>
      </c>
      <c r="U122" s="87">
        <f>U120-U45</f>
        <v>1263</v>
      </c>
      <c r="V122" s="87">
        <f>V120-V45</f>
        <v>2338</v>
      </c>
      <c r="W122" s="87">
        <f>W120-W45</f>
        <v>11509</v>
      </c>
      <c r="X122" s="87">
        <f>X120-X45</f>
        <v>13918</v>
      </c>
      <c r="Y122" s="87">
        <f>Y120-Y45</f>
        <v>15278</v>
      </c>
      <c r="Z122" s="136">
        <f>Z120-Z45</f>
        <v>16362</v>
      </c>
      <c r="AA122" s="11"/>
      <c r="AB122" s="45"/>
    </row>
    <row r="123" spans="2:28" ht="5.0999999999999996" customHeight="1">
      <c r="B123" s="8"/>
      <c r="C123" s="65"/>
      <c r="D123" s="65"/>
      <c r="E123" s="65"/>
      <c r="F123" s="32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S123" s="11"/>
      <c r="T123" s="11"/>
      <c r="U123" s="11"/>
      <c r="V123" s="11"/>
      <c r="W123" s="11"/>
      <c r="X123" s="11"/>
      <c r="Y123" s="11"/>
      <c r="Z123" s="11"/>
      <c r="AA123" s="11"/>
      <c r="AB123" s="45"/>
    </row>
    <row r="124" spans="2:28" ht="12.75" customHeight="1">
      <c r="B124" s="72" t="s">
        <v>60</v>
      </c>
      <c r="C124" s="62"/>
      <c r="D124" s="62"/>
      <c r="E124" s="62"/>
      <c r="F124" s="11"/>
      <c r="G124" s="62"/>
      <c r="H124" s="62"/>
      <c r="I124" s="62"/>
      <c r="J124" s="62"/>
      <c r="K124" s="62"/>
      <c r="L124" s="62"/>
      <c r="M124" s="62"/>
      <c r="N124" s="62"/>
      <c r="O124" s="82"/>
      <c r="P124" s="62"/>
      <c r="Q124" s="62"/>
      <c r="S124" s="62"/>
      <c r="T124" s="62"/>
      <c r="U124" s="62"/>
      <c r="V124" s="62"/>
      <c r="W124" s="62"/>
      <c r="X124" s="62"/>
      <c r="Y124" s="62"/>
      <c r="Z124" s="62"/>
      <c r="AA124" s="66"/>
      <c r="AB124" s="45"/>
    </row>
    <row r="125" spans="2:28" ht="12.75" customHeight="1">
      <c r="B125" s="8" t="s">
        <v>93</v>
      </c>
      <c r="C125" s="82"/>
      <c r="D125" s="82"/>
      <c r="E125" s="82"/>
      <c r="F125" s="11"/>
      <c r="G125" s="82"/>
      <c r="H125" s="82"/>
      <c r="I125" s="82"/>
      <c r="J125" s="32">
        <f>SUM(D125-SUM(G125:I125))</f>
        <v>0</v>
      </c>
      <c r="K125" s="82"/>
      <c r="L125" s="82"/>
      <c r="M125" s="82"/>
      <c r="N125" s="32">
        <f>SUM(E125-SUM(K125:M125))</f>
        <v>0</v>
      </c>
      <c r="O125" s="82"/>
      <c r="P125" s="82"/>
      <c r="Q125" s="82"/>
      <c r="S125" s="32">
        <f>SUM(G125:J125)</f>
        <v>0</v>
      </c>
      <c r="T125" s="32">
        <f>SUM(H125:K125)</f>
        <v>0</v>
      </c>
      <c r="U125" s="32">
        <f>SUM(I125:L125)</f>
        <v>0</v>
      </c>
      <c r="V125" s="32">
        <f>SUM(J125:M125)</f>
        <v>0</v>
      </c>
      <c r="W125" s="32">
        <f>SUM(K125:N125)</f>
        <v>0</v>
      </c>
      <c r="X125" s="32">
        <f>SUM(L125:O125)</f>
        <v>0</v>
      </c>
      <c r="Y125" s="32">
        <f>SUM(M125:P125)</f>
        <v>0</v>
      </c>
      <c r="Z125" s="32">
        <f>SUM(N125:Q125)</f>
        <v>0</v>
      </c>
      <c r="AA125" s="66"/>
      <c r="AB125" s="45"/>
    </row>
    <row r="126" spans="2:28" ht="12.75" customHeight="1">
      <c r="B126" s="8" t="s">
        <v>109</v>
      </c>
      <c r="C126" s="82"/>
      <c r="D126" s="82"/>
      <c r="E126" s="82"/>
      <c r="F126" s="32"/>
      <c r="G126" s="82"/>
      <c r="H126" s="82"/>
      <c r="I126" s="82"/>
      <c r="J126" s="32">
        <f>SUM(D126-SUM(G126:I126))</f>
        <v>0</v>
      </c>
      <c r="K126" s="82"/>
      <c r="L126" s="82"/>
      <c r="M126" s="82"/>
      <c r="N126" s="32">
        <f>SUM(E126-SUM(K126:M126))</f>
        <v>0</v>
      </c>
      <c r="O126" s="82"/>
      <c r="P126" s="82"/>
      <c r="Q126" s="82"/>
      <c r="R126" s="32"/>
      <c r="S126" s="32">
        <f>SUM(G126:J126)</f>
        <v>0</v>
      </c>
      <c r="T126" s="32">
        <f>SUM(H126:K126)</f>
        <v>0</v>
      </c>
      <c r="U126" s="32">
        <f>SUM(I126:L126)</f>
        <v>0</v>
      </c>
      <c r="V126" s="32">
        <f>SUM(J126:M126)</f>
        <v>0</v>
      </c>
      <c r="W126" s="32">
        <f>SUM(K126:N126)</f>
        <v>0</v>
      </c>
      <c r="X126" s="32">
        <f>SUM(L126:O126)</f>
        <v>0</v>
      </c>
      <c r="Y126" s="32">
        <f>SUM(M126:P126)</f>
        <v>0</v>
      </c>
      <c r="Z126" s="32">
        <f>SUM(N126:Q126)</f>
        <v>0</v>
      </c>
      <c r="AA126" s="11"/>
      <c r="AB126" s="45"/>
    </row>
    <row r="127" spans="2:28" ht="5.0999999999999996" customHeight="1" thickBot="1">
      <c r="B127" s="73"/>
      <c r="C127" s="74"/>
      <c r="D127" s="74"/>
      <c r="E127" s="74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B127" s="45"/>
    </row>
    <row r="128" spans="2:28" ht="12.75" customHeight="1">
      <c r="B128" s="53"/>
      <c r="C128" s="67"/>
      <c r="D128" s="67"/>
      <c r="E128" s="67"/>
    </row>
    <row r="129" spans="3:12" ht="12.75" customHeight="1">
      <c r="C129" s="56"/>
      <c r="D129" s="56"/>
      <c r="E129" s="56"/>
    </row>
    <row r="130" spans="3:12" ht="12.75" customHeight="1">
      <c r="C130" s="56"/>
      <c r="D130" s="56"/>
      <c r="E130" s="56"/>
      <c r="F130" s="56"/>
      <c r="G130" s="56"/>
      <c r="H130" s="56"/>
      <c r="I130" s="56"/>
      <c r="J130" s="56"/>
      <c r="K130" s="56"/>
    </row>
    <row r="131" spans="3:12" ht="12.75" customHeight="1">
      <c r="C131" s="56"/>
      <c r="D131" s="56"/>
      <c r="E131" s="56"/>
      <c r="F131" s="56"/>
      <c r="G131" s="56"/>
      <c r="H131" s="56"/>
      <c r="I131" s="56"/>
      <c r="J131" s="56"/>
      <c r="K131" s="56"/>
    </row>
    <row r="132" spans="3:12" ht="12.75" customHeight="1">
      <c r="C132" s="56"/>
      <c r="D132" s="56"/>
      <c r="E132" s="56"/>
      <c r="F132" s="56"/>
      <c r="G132" s="56"/>
      <c r="H132" s="56"/>
      <c r="I132" s="56"/>
      <c r="J132" s="56"/>
      <c r="K132" s="56"/>
    </row>
    <row r="133" spans="3:12" ht="12.75" customHeight="1">
      <c r="C133" s="56"/>
      <c r="D133" s="56"/>
      <c r="E133" s="56"/>
      <c r="F133" s="56"/>
      <c r="G133" s="56"/>
      <c r="H133" s="56"/>
      <c r="I133" s="56"/>
      <c r="J133" s="56"/>
      <c r="K133" s="56"/>
    </row>
    <row r="134" spans="3:12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86"/>
    </row>
    <row r="135" spans="3:12" ht="12.75" customHeight="1">
      <c r="C135" s="56"/>
      <c r="D135" s="56"/>
      <c r="E135" s="56"/>
      <c r="F135" s="56"/>
      <c r="G135" s="56"/>
      <c r="H135" s="56"/>
      <c r="I135" s="56"/>
      <c r="J135" s="56"/>
      <c r="K135" s="56"/>
    </row>
    <row r="136" spans="3:12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86"/>
    </row>
    <row r="137" spans="3:12">
      <c r="C137" s="56"/>
      <c r="D137" s="56"/>
      <c r="E137" s="56"/>
      <c r="F137" s="56"/>
      <c r="G137" s="56"/>
      <c r="H137" s="56"/>
      <c r="I137" s="56"/>
      <c r="J137" s="56"/>
      <c r="K137" s="56"/>
      <c r="L137" s="86"/>
    </row>
    <row r="138" spans="3:12">
      <c r="C138" s="56"/>
      <c r="D138" s="56"/>
      <c r="E138" s="56"/>
      <c r="F138" s="56"/>
      <c r="G138" s="56"/>
      <c r="H138" s="56"/>
      <c r="I138" s="56"/>
      <c r="J138" s="56"/>
      <c r="K138" s="56"/>
      <c r="L138" s="86"/>
    </row>
    <row r="139" spans="3:12">
      <c r="C139" s="56"/>
      <c r="D139" s="56"/>
      <c r="E139" s="56"/>
      <c r="F139" s="56"/>
      <c r="G139" s="56"/>
      <c r="H139" s="56"/>
      <c r="I139" s="56"/>
      <c r="J139" s="56"/>
      <c r="K139" s="56"/>
    </row>
    <row r="140" spans="3:12">
      <c r="C140" s="56"/>
      <c r="D140" s="56"/>
      <c r="E140" s="56"/>
      <c r="F140" s="56"/>
      <c r="G140" s="56"/>
      <c r="H140" s="56"/>
      <c r="I140" s="56"/>
      <c r="J140" s="56"/>
      <c r="K140" s="56"/>
      <c r="L140" s="86"/>
    </row>
    <row r="141" spans="3:12">
      <c r="C141" s="56"/>
      <c r="D141" s="56"/>
      <c r="E141" s="56"/>
      <c r="F141" s="56"/>
      <c r="G141" s="56"/>
      <c r="H141" s="56"/>
      <c r="I141" s="56"/>
      <c r="J141" s="56"/>
      <c r="K141" s="56"/>
      <c r="L141" s="86"/>
    </row>
    <row r="142" spans="3:12">
      <c r="C142" s="56"/>
      <c r="D142" s="56"/>
      <c r="E142" s="56"/>
      <c r="F142" s="56"/>
      <c r="G142" s="56"/>
      <c r="H142" s="56"/>
      <c r="I142" s="56"/>
      <c r="J142" s="56"/>
      <c r="K142" s="56"/>
    </row>
    <row r="143" spans="3:12">
      <c r="C143" s="56"/>
      <c r="D143" s="56"/>
      <c r="E143" s="56"/>
      <c r="F143" s="56"/>
      <c r="G143" s="56"/>
      <c r="H143" s="56"/>
      <c r="I143" s="56"/>
      <c r="J143" s="56"/>
      <c r="K143" s="56"/>
    </row>
  </sheetData>
  <mergeCells count="3">
    <mergeCell ref="AB6:AB8"/>
    <mergeCell ref="AB40:AB42"/>
    <mergeCell ref="AB84:AB86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F50 S21:W22 S28:Z29 S10:Z13" formulaRange="1"/>
    <ignoredError sqref="C21:E22 G21:Q22 G28:Q28 C28:E28 Z105:AB107 Z98:AB99 AA104 Z100:AA100 AA108:AB108 G31:Z33 G35:Z36 G34:Z34 G38:Z38 G37:I37 O37:Z37 C31:F33 F30 R30 C35:F38 C34:D34 F34" evalError="1"/>
    <ignoredError sqref="S118:Z118 S117:Z117" formula="1"/>
    <ignoredError sqref="S30:Z30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L69"/>
  <sheetViews>
    <sheetView showGridLines="0" zoomScaleNormal="100" workbookViewId="0">
      <selection activeCell="J77" sqref="J77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8" width="8" style="8" customWidth="1" outlineLevel="1"/>
    <col min="9" max="10" width="8.75" style="8" customWidth="1" outlineLevel="1"/>
    <col min="11" max="11" width="8.5" style="8" customWidth="1" outlineLevel="1"/>
    <col min="12" max="12" width="8.25" style="8" customWidth="1" outlineLevel="1"/>
    <col min="13" max="13" width="8.5" style="8" bestFit="1" customWidth="1"/>
    <col min="14" max="17" width="9.125" style="8" bestFit="1" customWidth="1"/>
    <col min="18" max="18" width="1.5" style="8" customWidth="1"/>
    <col min="19" max="21" width="8.75" style="8" customWidth="1" outlineLevel="1"/>
    <col min="22" max="22" width="8.75" style="8" customWidth="1"/>
    <col min="23" max="25" width="8.75" style="8" customWidth="1" outlineLevel="1"/>
    <col min="26" max="26" width="8.75" style="8" customWidth="1"/>
    <col min="27" max="16384" width="9" style="8"/>
  </cols>
  <sheetData>
    <row r="2" spans="1:26" s="5" customFormat="1" ht="12.75" customHeight="1">
      <c r="B2" s="1" t="str">
        <f>'Historical Financials'!B2</f>
        <v>Abbott Laboratories Inc (NYSE: ABT)</v>
      </c>
      <c r="C2" s="2" t="s">
        <v>0</v>
      </c>
      <c r="D2" s="2"/>
      <c r="E2" s="2"/>
      <c r="F2" s="3"/>
      <c r="G2" s="2"/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/>
      <c r="V2" s="2"/>
      <c r="W2" s="2"/>
      <c r="X2" s="2"/>
      <c r="Y2" s="2"/>
      <c r="Z2" s="2"/>
    </row>
    <row r="3" spans="1:26" s="5" customFormat="1" ht="12.75" customHeight="1">
      <c r="B3" s="6" t="s">
        <v>64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>J3</f>
        <v>4Q23</v>
      </c>
      <c r="T3" s="4" t="str">
        <f>K3</f>
        <v>1Q24</v>
      </c>
      <c r="U3" s="4" t="str">
        <f>L3</f>
        <v>2Q24</v>
      </c>
      <c r="V3" s="4" t="str">
        <f>M3</f>
        <v>3Q24</v>
      </c>
      <c r="W3" s="4" t="str">
        <f>N3</f>
        <v>4Q24</v>
      </c>
      <c r="X3" s="4" t="str">
        <f>O3</f>
        <v>1Q25</v>
      </c>
      <c r="Y3" s="4" t="str">
        <f>P3</f>
        <v>2Q25</v>
      </c>
      <c r="Z3" s="4" t="str">
        <f>Q3</f>
        <v>3Q25</v>
      </c>
    </row>
    <row r="4" spans="1:26" s="5" customFormat="1" ht="12.75" customHeight="1">
      <c r="B4" s="6" t="s">
        <v>157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/>
      <c r="G4" s="3">
        <f>'Historical Financials'!G8</f>
        <v>0</v>
      </c>
      <c r="H4" s="3">
        <f>'Historical Financials'!H8</f>
        <v>0</v>
      </c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/>
      <c r="S4" s="3">
        <f>J4</f>
        <v>0</v>
      </c>
      <c r="T4" s="3">
        <f>K4</f>
        <v>0</v>
      </c>
      <c r="U4" s="3">
        <f>L4</f>
        <v>0</v>
      </c>
      <c r="V4" s="3">
        <f>M4</f>
        <v>0</v>
      </c>
      <c r="W4" s="3">
        <f>N4</f>
        <v>0</v>
      </c>
      <c r="X4" s="3">
        <f>O4</f>
        <v>0</v>
      </c>
      <c r="Y4" s="3">
        <f>P4</f>
        <v>0</v>
      </c>
      <c r="Z4" s="3">
        <f>Q4</f>
        <v>0</v>
      </c>
    </row>
    <row r="5" spans="1:26" ht="5.0999999999999996" customHeight="1"/>
    <row r="6" spans="1:26">
      <c r="A6" s="36" t="s">
        <v>16</v>
      </c>
      <c r="B6" s="1" t="s">
        <v>158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.0999999999999996" customHeight="1"/>
    <row r="8" spans="1:26" ht="12.75" customHeight="1">
      <c r="A8" s="80" t="s">
        <v>16</v>
      </c>
      <c r="B8" s="78" t="s">
        <v>159</v>
      </c>
      <c r="C8" s="10"/>
      <c r="D8" s="10"/>
      <c r="E8" s="10"/>
      <c r="F8" s="10"/>
      <c r="G8" s="95"/>
      <c r="H8" s="95"/>
      <c r="I8" s="95"/>
      <c r="J8" s="32"/>
      <c r="K8" s="95"/>
      <c r="L8" s="95"/>
      <c r="M8" s="95"/>
      <c r="N8" s="32"/>
      <c r="O8" s="95"/>
      <c r="P8" s="95"/>
      <c r="Q8" s="95"/>
      <c r="R8" s="5"/>
      <c r="S8" s="11"/>
      <c r="T8" s="11"/>
      <c r="U8" s="11"/>
      <c r="V8" s="11"/>
      <c r="W8" s="11"/>
      <c r="X8" s="11"/>
      <c r="Y8" s="11"/>
      <c r="Z8" s="11"/>
    </row>
    <row r="9" spans="1:26" ht="12.75" customHeight="1">
      <c r="A9" s="80"/>
      <c r="B9" s="9" t="s">
        <v>185</v>
      </c>
      <c r="C9" s="81">
        <v>4912</v>
      </c>
      <c r="D9" s="81">
        <v>5066</v>
      </c>
      <c r="E9" s="81">
        <v>5194</v>
      </c>
      <c r="F9" s="10"/>
      <c r="G9" s="81">
        <v>1189</v>
      </c>
      <c r="H9" s="81">
        <v>1287</v>
      </c>
      <c r="I9" s="81">
        <v>1368</v>
      </c>
      <c r="J9" s="32">
        <v>1222</v>
      </c>
      <c r="K9" s="81">
        <v>1226</v>
      </c>
      <c r="L9" s="81">
        <v>1294</v>
      </c>
      <c r="M9" s="81">
        <v>1406</v>
      </c>
      <c r="N9" s="32">
        <v>1268</v>
      </c>
      <c r="O9" s="81">
        <v>1260</v>
      </c>
      <c r="P9" s="81">
        <v>1383</v>
      </c>
      <c r="Q9" s="81">
        <v>1511</v>
      </c>
      <c r="R9" s="5"/>
      <c r="S9" s="32">
        <f>SUM(G9:J9)</f>
        <v>5066</v>
      </c>
      <c r="T9" s="32">
        <f>SUM(H9:K9)</f>
        <v>5103</v>
      </c>
      <c r="U9" s="32">
        <f>SUM(I9:L9)</f>
        <v>5110</v>
      </c>
      <c r="V9" s="32">
        <f>SUM(J9:M9)</f>
        <v>5148</v>
      </c>
      <c r="W9" s="32">
        <f>SUM(K9:N9)</f>
        <v>5194</v>
      </c>
      <c r="X9" s="32">
        <f>SUM(L9:O9)</f>
        <v>5228</v>
      </c>
      <c r="Y9" s="32">
        <f>SUM(M9:P9)</f>
        <v>5317</v>
      </c>
      <c r="Z9" s="32">
        <f>SUM(N9:Q9)</f>
        <v>5422</v>
      </c>
    </row>
    <row r="10" spans="1:26" ht="12.75" customHeight="1">
      <c r="A10" s="80"/>
      <c r="B10" s="9" t="s">
        <v>186</v>
      </c>
      <c r="C10" s="171">
        <f>C26</f>
        <v>7459</v>
      </c>
      <c r="D10" s="171">
        <f t="shared" ref="D10:Q10" si="0">D26</f>
        <v>8154</v>
      </c>
      <c r="E10" s="171">
        <f t="shared" si="0"/>
        <v>8413</v>
      </c>
      <c r="F10" s="10"/>
      <c r="G10" s="171">
        <f t="shared" si="0"/>
        <v>1967</v>
      </c>
      <c r="H10" s="171">
        <f t="shared" si="0"/>
        <v>2076</v>
      </c>
      <c r="I10" s="171">
        <f t="shared" si="0"/>
        <v>2073</v>
      </c>
      <c r="J10" s="171">
        <f t="shared" si="0"/>
        <v>2038</v>
      </c>
      <c r="K10" s="171">
        <f t="shared" si="0"/>
        <v>2068</v>
      </c>
      <c r="L10" s="171">
        <f t="shared" si="0"/>
        <v>2150</v>
      </c>
      <c r="M10" s="171">
        <f t="shared" si="0"/>
        <v>2066</v>
      </c>
      <c r="N10" s="171">
        <f t="shared" si="0"/>
        <v>2129</v>
      </c>
      <c r="O10" s="171">
        <f t="shared" si="0"/>
        <v>2146</v>
      </c>
      <c r="P10" s="171">
        <f t="shared" si="0"/>
        <v>2212</v>
      </c>
      <c r="Q10" s="171">
        <f t="shared" si="0"/>
        <v>2153</v>
      </c>
      <c r="R10" s="5"/>
      <c r="S10" s="32">
        <f t="shared" ref="S10:S13" si="1">SUM(G10:J10)</f>
        <v>8154</v>
      </c>
      <c r="T10" s="32">
        <f t="shared" ref="T10:T13" si="2">SUM(H10:K10)</f>
        <v>8255</v>
      </c>
      <c r="U10" s="32">
        <f t="shared" ref="U10:U13" si="3">SUM(I10:L10)</f>
        <v>8329</v>
      </c>
      <c r="V10" s="32">
        <f t="shared" ref="V10:V13" si="4">SUM(J10:M10)</f>
        <v>8322</v>
      </c>
      <c r="W10" s="32">
        <f t="shared" ref="W10:W13" si="5">SUM(K10:N10)</f>
        <v>8413</v>
      </c>
      <c r="X10" s="32">
        <f t="shared" ref="X10:X13" si="6">SUM(L10:O10)</f>
        <v>8491</v>
      </c>
      <c r="Y10" s="32">
        <f t="shared" ref="Y10:Y13" si="7">SUM(M10:P10)</f>
        <v>8553</v>
      </c>
      <c r="Z10" s="32">
        <f t="shared" ref="Z10:Z13" si="8">SUM(N10:Q10)</f>
        <v>8640</v>
      </c>
    </row>
    <row r="11" spans="1:26" ht="12.75" customHeight="1">
      <c r="A11" s="80"/>
      <c r="B11" s="9" t="s">
        <v>187</v>
      </c>
      <c r="C11" s="171">
        <f>C36</f>
        <v>16469</v>
      </c>
      <c r="D11" s="171">
        <f t="shared" ref="D11:Q11" si="9">D36</f>
        <v>9988</v>
      </c>
      <c r="E11" s="171">
        <f t="shared" si="9"/>
        <v>9341</v>
      </c>
      <c r="F11" s="10"/>
      <c r="G11" s="171">
        <f t="shared" si="9"/>
        <v>2688</v>
      </c>
      <c r="H11" s="171">
        <f t="shared" si="9"/>
        <v>2317</v>
      </c>
      <c r="I11" s="171">
        <f t="shared" si="9"/>
        <v>2449</v>
      </c>
      <c r="J11" s="171">
        <f t="shared" si="9"/>
        <v>2534</v>
      </c>
      <c r="K11" s="171">
        <f t="shared" si="9"/>
        <v>2214</v>
      </c>
      <c r="L11" s="171">
        <f t="shared" si="9"/>
        <v>2195</v>
      </c>
      <c r="M11" s="171">
        <f t="shared" si="9"/>
        <v>2412</v>
      </c>
      <c r="N11" s="171">
        <f t="shared" si="9"/>
        <v>2520</v>
      </c>
      <c r="O11" s="171">
        <f t="shared" si="9"/>
        <v>2054</v>
      </c>
      <c r="P11" s="171">
        <f t="shared" si="9"/>
        <v>2173</v>
      </c>
      <c r="Q11" s="171">
        <f t="shared" si="9"/>
        <v>2253</v>
      </c>
      <c r="R11" s="5"/>
      <c r="S11" s="32">
        <f t="shared" si="1"/>
        <v>9988</v>
      </c>
      <c r="T11" s="32">
        <f t="shared" si="2"/>
        <v>9514</v>
      </c>
      <c r="U11" s="32">
        <f t="shared" si="3"/>
        <v>9392</v>
      </c>
      <c r="V11" s="32">
        <f t="shared" si="4"/>
        <v>9355</v>
      </c>
      <c r="W11" s="32">
        <f t="shared" si="5"/>
        <v>9341</v>
      </c>
      <c r="X11" s="32">
        <f t="shared" si="6"/>
        <v>9181</v>
      </c>
      <c r="Y11" s="32">
        <f t="shared" si="7"/>
        <v>9159</v>
      </c>
      <c r="Z11" s="32">
        <f t="shared" si="8"/>
        <v>9000</v>
      </c>
    </row>
    <row r="12" spans="1:26" ht="12.75" customHeight="1">
      <c r="A12" s="80"/>
      <c r="B12" s="9" t="s">
        <v>188</v>
      </c>
      <c r="C12" s="171">
        <f>C51</f>
        <v>14802</v>
      </c>
      <c r="D12" s="171">
        <f t="shared" ref="D12:Q12" si="10">D51</f>
        <v>16887</v>
      </c>
      <c r="E12" s="171">
        <f t="shared" si="10"/>
        <v>18986</v>
      </c>
      <c r="F12" s="10"/>
      <c r="G12" s="171">
        <f t="shared" si="10"/>
        <v>3900</v>
      </c>
      <c r="H12" s="171">
        <f t="shared" si="10"/>
        <v>4295</v>
      </c>
      <c r="I12" s="171">
        <f t="shared" si="10"/>
        <v>4249</v>
      </c>
      <c r="J12" s="171">
        <f t="shared" si="10"/>
        <v>4443</v>
      </c>
      <c r="K12" s="171">
        <f t="shared" si="10"/>
        <v>4453</v>
      </c>
      <c r="L12" s="171">
        <f t="shared" si="10"/>
        <v>4734</v>
      </c>
      <c r="M12" s="171">
        <f t="shared" si="10"/>
        <v>4747</v>
      </c>
      <c r="N12" s="171">
        <f t="shared" si="10"/>
        <v>5052</v>
      </c>
      <c r="O12" s="171">
        <f t="shared" si="10"/>
        <v>4895</v>
      </c>
      <c r="P12" s="171">
        <f t="shared" si="10"/>
        <v>5369</v>
      </c>
      <c r="Q12" s="171">
        <f t="shared" si="10"/>
        <v>5448</v>
      </c>
      <c r="R12" s="5"/>
      <c r="S12" s="32">
        <f t="shared" si="1"/>
        <v>16887</v>
      </c>
      <c r="T12" s="32">
        <f t="shared" si="2"/>
        <v>17440</v>
      </c>
      <c r="U12" s="32">
        <f t="shared" si="3"/>
        <v>17879</v>
      </c>
      <c r="V12" s="32">
        <f t="shared" si="4"/>
        <v>18377</v>
      </c>
      <c r="W12" s="32">
        <f t="shared" si="5"/>
        <v>18986</v>
      </c>
      <c r="X12" s="32">
        <f t="shared" si="6"/>
        <v>19428</v>
      </c>
      <c r="Y12" s="32">
        <f t="shared" si="7"/>
        <v>20063</v>
      </c>
      <c r="Z12" s="32">
        <f t="shared" si="8"/>
        <v>20764</v>
      </c>
    </row>
    <row r="13" spans="1:26">
      <c r="B13" s="9" t="s">
        <v>174</v>
      </c>
      <c r="C13" s="81">
        <v>11</v>
      </c>
      <c r="D13" s="81">
        <v>14</v>
      </c>
      <c r="E13" s="81">
        <v>16</v>
      </c>
      <c r="F13" s="81"/>
      <c r="G13" s="95">
        <v>3</v>
      </c>
      <c r="H13" s="95">
        <v>3</v>
      </c>
      <c r="I13" s="95">
        <v>4</v>
      </c>
      <c r="J13" s="32">
        <v>4</v>
      </c>
      <c r="K13" s="95">
        <v>3</v>
      </c>
      <c r="L13" s="95">
        <v>4</v>
      </c>
      <c r="M13" s="95">
        <v>4</v>
      </c>
      <c r="N13" s="32">
        <v>5</v>
      </c>
      <c r="O13" s="82">
        <v>3</v>
      </c>
      <c r="P13" s="82">
        <v>5</v>
      </c>
      <c r="Q13" s="81">
        <v>4</v>
      </c>
      <c r="R13" s="5"/>
      <c r="S13" s="32">
        <f t="shared" si="1"/>
        <v>14</v>
      </c>
      <c r="T13" s="32">
        <f t="shared" si="2"/>
        <v>14</v>
      </c>
      <c r="U13" s="32">
        <f t="shared" si="3"/>
        <v>15</v>
      </c>
      <c r="V13" s="32">
        <f t="shared" si="4"/>
        <v>15</v>
      </c>
      <c r="W13" s="32">
        <f t="shared" si="5"/>
        <v>16</v>
      </c>
      <c r="X13" s="32">
        <f t="shared" si="6"/>
        <v>16</v>
      </c>
      <c r="Y13" s="32">
        <f t="shared" si="7"/>
        <v>17</v>
      </c>
      <c r="Z13" s="32">
        <f t="shared" si="8"/>
        <v>17</v>
      </c>
    </row>
    <row r="14" spans="1:26">
      <c r="B14" s="13" t="s">
        <v>65</v>
      </c>
      <c r="C14" s="14">
        <f>SUM(C9:C13)</f>
        <v>43653</v>
      </c>
      <c r="D14" s="14">
        <f>SUM(D9:D13)</f>
        <v>40109</v>
      </c>
      <c r="E14" s="14">
        <f>SUM(E9:E13)</f>
        <v>41950</v>
      </c>
      <c r="F14" s="11"/>
      <c r="G14" s="14">
        <f>SUM(G9:G13)</f>
        <v>9747</v>
      </c>
      <c r="H14" s="14">
        <f>SUM(H9:H13)</f>
        <v>9978</v>
      </c>
      <c r="I14" s="14">
        <f>SUM(I9:I13)</f>
        <v>10143</v>
      </c>
      <c r="J14" s="14">
        <f>SUM(J9:J13)</f>
        <v>10241</v>
      </c>
      <c r="K14" s="14">
        <f>SUM(K9:K13)</f>
        <v>9964</v>
      </c>
      <c r="L14" s="14">
        <f>SUM(L9:L13)</f>
        <v>10377</v>
      </c>
      <c r="M14" s="14">
        <f>SUM(M9:M13)</f>
        <v>10635</v>
      </c>
      <c r="N14" s="14">
        <f>SUM(N9:N13)</f>
        <v>10974</v>
      </c>
      <c r="O14" s="14">
        <f>SUM(O9:O13)</f>
        <v>10358</v>
      </c>
      <c r="P14" s="14">
        <f>SUM(P9:P13)</f>
        <v>11142</v>
      </c>
      <c r="Q14" s="14">
        <f>SUM(Q9:Q13)</f>
        <v>11369</v>
      </c>
      <c r="R14" s="5"/>
      <c r="S14" s="14">
        <f>SUM(S9:S13)</f>
        <v>40109</v>
      </c>
      <c r="T14" s="14">
        <f>SUM(T9:T13)</f>
        <v>40326</v>
      </c>
      <c r="U14" s="14">
        <f>SUM(U9:U13)</f>
        <v>40725</v>
      </c>
      <c r="V14" s="14">
        <f>SUM(V9:V13)</f>
        <v>41217</v>
      </c>
      <c r="W14" s="14">
        <f>SUM(W9:W13)</f>
        <v>41950</v>
      </c>
      <c r="X14" s="14">
        <f>SUM(X9:X13)</f>
        <v>42344</v>
      </c>
      <c r="Y14" s="14">
        <f>SUM(Y9:Y13)</f>
        <v>43109</v>
      </c>
      <c r="Z14" s="14">
        <f>SUM(Z9:Z13)</f>
        <v>43843</v>
      </c>
    </row>
    <row r="15" spans="1:26" outlineLevel="1">
      <c r="B15" s="131" t="s">
        <v>160</v>
      </c>
      <c r="C15" s="79">
        <f>C14-'Historical Financials'!C11</f>
        <v>0</v>
      </c>
      <c r="D15" s="79">
        <f>D14-'Historical Financials'!D11</f>
        <v>0</v>
      </c>
      <c r="E15" s="79">
        <f>E14-'Historical Financials'!E11</f>
        <v>0</v>
      </c>
      <c r="F15" s="11"/>
      <c r="G15" s="79">
        <f>G14-'Historical Financials'!G11</f>
        <v>0</v>
      </c>
      <c r="H15" s="79">
        <f>H14-'Historical Financials'!H11</f>
        <v>0</v>
      </c>
      <c r="I15" s="79">
        <f>I14-'Historical Financials'!I11</f>
        <v>0</v>
      </c>
      <c r="J15" s="79">
        <f>J14-'Historical Financials'!J11</f>
        <v>0</v>
      </c>
      <c r="K15" s="79">
        <f>K14-'Historical Financials'!K11</f>
        <v>0</v>
      </c>
      <c r="L15" s="79">
        <f>L14-'Historical Financials'!L11</f>
        <v>0</v>
      </c>
      <c r="M15" s="79">
        <f>M14-'Historical Financials'!M11</f>
        <v>0</v>
      </c>
      <c r="N15" s="79">
        <f>N14-'Historical Financials'!N11</f>
        <v>0</v>
      </c>
      <c r="O15" s="79">
        <f>O14-'Historical Financials'!O11</f>
        <v>0</v>
      </c>
      <c r="P15" s="79">
        <f>P14-'Historical Financials'!P11</f>
        <v>0</v>
      </c>
      <c r="Q15" s="79">
        <f>Q14-'Historical Financials'!Q11</f>
        <v>0</v>
      </c>
      <c r="R15" s="79"/>
      <c r="S15" s="79">
        <f>S14-'Historical Financials'!U11</f>
        <v>-616</v>
      </c>
      <c r="T15" s="79">
        <f>T14-'Historical Financials'!V11</f>
        <v>-891</v>
      </c>
      <c r="U15" s="79">
        <f>U14-'Historical Financials'!W11</f>
        <v>-1225</v>
      </c>
      <c r="V15" s="79">
        <f>V14-'Historical Financials'!X11</f>
        <v>-1127</v>
      </c>
      <c r="W15" s="79">
        <f>W14-'Historical Financials'!Y11</f>
        <v>-1159</v>
      </c>
      <c r="X15" s="79">
        <f>X14-'Historical Financials'!Z11</f>
        <v>-1499</v>
      </c>
      <c r="Y15" s="79">
        <f>Y14-'Historical Financials'!AA11</f>
        <v>43109</v>
      </c>
      <c r="Z15" s="79">
        <f>Z14-'Historical Financials'!AB11</f>
        <v>43842.93628842468</v>
      </c>
    </row>
    <row r="16" spans="1:26">
      <c r="B16" s="18"/>
      <c r="C16" s="19"/>
      <c r="D16" s="19"/>
      <c r="E16" s="19"/>
      <c r="F16" s="20"/>
      <c r="G16" s="21"/>
      <c r="H16" s="21"/>
      <c r="I16" s="21"/>
      <c r="J16" s="22"/>
      <c r="K16" s="21"/>
      <c r="L16" s="21"/>
      <c r="M16" s="21"/>
      <c r="N16" s="21"/>
      <c r="O16" s="21"/>
      <c r="P16" s="21"/>
      <c r="Q16" s="21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B17" s="152" t="str">
        <f>B9&amp;"(%)"</f>
        <v>Established Pharma Product Revenues(%)</v>
      </c>
      <c r="C17" s="153">
        <f>SUM(C9/C$14)</f>
        <v>0.11252376698050535</v>
      </c>
      <c r="D17" s="153">
        <f>SUM(D9/D$14)</f>
        <v>0.12630581664962975</v>
      </c>
      <c r="E17" s="153">
        <f>SUM(E9/E$14)</f>
        <v>0.12381406436233612</v>
      </c>
      <c r="F17" s="154"/>
      <c r="G17" s="153">
        <f>SUM(G9/G$14)</f>
        <v>0.121986252180158</v>
      </c>
      <c r="H17" s="153">
        <f>SUM(H9/H$14)</f>
        <v>0.12898376428141911</v>
      </c>
      <c r="I17" s="153">
        <f>SUM(I9/I$14)</f>
        <v>0.13487133984028393</v>
      </c>
      <c r="J17" s="153">
        <f>SUM(J9/J$14)</f>
        <v>0.11932428473781857</v>
      </c>
      <c r="K17" s="153">
        <f>SUM(K9/K$14)</f>
        <v>0.1230429546366921</v>
      </c>
      <c r="L17" s="153">
        <f>SUM(L9/L$14)</f>
        <v>0.1246988532331117</v>
      </c>
      <c r="M17" s="153">
        <f>SUM(M9/M$14)</f>
        <v>0.13220498354489893</v>
      </c>
      <c r="N17" s="153">
        <f>SUM(N9/N$14)</f>
        <v>0.11554583561144523</v>
      </c>
      <c r="O17" s="153">
        <f>SUM(O9/O$14)</f>
        <v>0.1216451052326704</v>
      </c>
      <c r="P17" s="153">
        <f>SUM(P9/P$14)</f>
        <v>0.12412493268712978</v>
      </c>
      <c r="Q17" s="153">
        <f>SUM(Q9/Q$14)</f>
        <v>0.13290526871316738</v>
      </c>
      <c r="R17" s="154"/>
      <c r="S17" s="155">
        <f t="shared" ref="S17:S21" si="11">J17</f>
        <v>0.11932428473781857</v>
      </c>
      <c r="T17" s="155">
        <f t="shared" ref="T17:T21" si="12">K17</f>
        <v>0.1230429546366921</v>
      </c>
      <c r="U17" s="155">
        <f t="shared" ref="U17:U21" si="13">L17</f>
        <v>0.1246988532331117</v>
      </c>
      <c r="V17" s="155">
        <f t="shared" ref="V17:V21" si="14">M17</f>
        <v>0.13220498354489893</v>
      </c>
      <c r="W17" s="155">
        <f t="shared" ref="W17:W21" si="15">N17</f>
        <v>0.11554583561144523</v>
      </c>
      <c r="X17" s="155">
        <f t="shared" ref="X17:X21" si="16">O17</f>
        <v>0.1216451052326704</v>
      </c>
      <c r="Y17" s="155">
        <f t="shared" ref="Y17:Y21" si="17">P17</f>
        <v>0.12412493268712978</v>
      </c>
      <c r="Z17" s="156">
        <f t="shared" ref="Z17:Z21" si="18">Q17</f>
        <v>0.13290526871316738</v>
      </c>
    </row>
    <row r="18" spans="1:26">
      <c r="B18" s="166" t="str">
        <f t="shared" ref="B18:B20" si="19">B10&amp;"(%)"</f>
        <v>Nutritionals Revenues(%)</v>
      </c>
      <c r="C18" s="167">
        <f t="shared" ref="C18:E18" si="20">SUM(C10/C$14)</f>
        <v>0.17087027237532357</v>
      </c>
      <c r="D18" s="167">
        <f t="shared" si="20"/>
        <v>0.20329601834999625</v>
      </c>
      <c r="E18" s="167">
        <f t="shared" si="20"/>
        <v>0.20054827175208581</v>
      </c>
      <c r="F18" s="168"/>
      <c r="G18" s="167">
        <f t="shared" ref="G18:Q18" si="21">SUM(G10/G$14)</f>
        <v>0.20180568380014363</v>
      </c>
      <c r="H18" s="167">
        <f t="shared" si="21"/>
        <v>0.20805772699939867</v>
      </c>
      <c r="I18" s="167">
        <f t="shared" si="21"/>
        <v>0.20437740313516711</v>
      </c>
      <c r="J18" s="167">
        <f t="shared" si="21"/>
        <v>0.19900400351528172</v>
      </c>
      <c r="K18" s="167">
        <f t="shared" si="21"/>
        <v>0.20754716981132076</v>
      </c>
      <c r="L18" s="167">
        <f t="shared" si="21"/>
        <v>0.20718897561915775</v>
      </c>
      <c r="M18" s="167">
        <f t="shared" si="21"/>
        <v>0.19426422190879172</v>
      </c>
      <c r="N18" s="167">
        <f t="shared" si="21"/>
        <v>0.19400400947694552</v>
      </c>
      <c r="O18" s="167">
        <f t="shared" si="21"/>
        <v>0.20718285383278626</v>
      </c>
      <c r="P18" s="167">
        <f t="shared" si="21"/>
        <v>0.19852809190450549</v>
      </c>
      <c r="Q18" s="167">
        <f t="shared" si="21"/>
        <v>0.18937461518163426</v>
      </c>
      <c r="R18" s="168"/>
      <c r="S18" s="169">
        <f t="shared" ref="S18:S20" si="22">J18</f>
        <v>0.19900400351528172</v>
      </c>
      <c r="T18" s="169">
        <f t="shared" ref="T18:T20" si="23">K18</f>
        <v>0.20754716981132076</v>
      </c>
      <c r="U18" s="169">
        <f t="shared" ref="U18:U20" si="24">L18</f>
        <v>0.20718897561915775</v>
      </c>
      <c r="V18" s="169">
        <f t="shared" ref="V18:V20" si="25">M18</f>
        <v>0.19426422190879172</v>
      </c>
      <c r="W18" s="169">
        <f t="shared" ref="W18:W20" si="26">N18</f>
        <v>0.19400400947694552</v>
      </c>
      <c r="X18" s="169">
        <f t="shared" ref="X18:X20" si="27">O18</f>
        <v>0.20718285383278626</v>
      </c>
      <c r="Y18" s="169">
        <f t="shared" ref="Y18:Y20" si="28">P18</f>
        <v>0.19852809190450549</v>
      </c>
      <c r="Z18" s="170">
        <f t="shared" ref="Z18:Z20" si="29">Q18</f>
        <v>0.18937461518163426</v>
      </c>
    </row>
    <row r="19" spans="1:26">
      <c r="B19" s="166" t="str">
        <f t="shared" si="19"/>
        <v>Diagnostics Revenues(%)</v>
      </c>
      <c r="C19" s="167">
        <f t="shared" ref="C19:E19" si="30">SUM(C11/C$14)</f>
        <v>0.37727074886033035</v>
      </c>
      <c r="D19" s="167">
        <f t="shared" si="30"/>
        <v>0.24902141663965693</v>
      </c>
      <c r="E19" s="167">
        <f t="shared" si="30"/>
        <v>0.22266984505363527</v>
      </c>
      <c r="F19" s="168"/>
      <c r="G19" s="167">
        <f t="shared" ref="G19:Q19" si="31">SUM(G11/G$14)</f>
        <v>0.27577716220375498</v>
      </c>
      <c r="H19" s="167">
        <f t="shared" si="31"/>
        <v>0.23221086390058127</v>
      </c>
      <c r="I19" s="167">
        <f t="shared" si="31"/>
        <v>0.24144730355910479</v>
      </c>
      <c r="J19" s="167">
        <f t="shared" si="31"/>
        <v>0.24743677375256323</v>
      </c>
      <c r="K19" s="167">
        <f t="shared" si="31"/>
        <v>0.22219991971095945</v>
      </c>
      <c r="L19" s="167">
        <f t="shared" si="31"/>
        <v>0.21152548906234941</v>
      </c>
      <c r="M19" s="167">
        <f t="shared" si="31"/>
        <v>0.22679830747531735</v>
      </c>
      <c r="N19" s="167">
        <f t="shared" si="31"/>
        <v>0.22963367960634226</v>
      </c>
      <c r="O19" s="167">
        <f t="shared" si="31"/>
        <v>0.19830083027611509</v>
      </c>
      <c r="P19" s="167">
        <f t="shared" si="31"/>
        <v>0.1950278226530246</v>
      </c>
      <c r="Q19" s="167">
        <f t="shared" si="31"/>
        <v>0.19817046354120854</v>
      </c>
      <c r="R19" s="168"/>
      <c r="S19" s="169">
        <f t="shared" si="22"/>
        <v>0.24743677375256323</v>
      </c>
      <c r="T19" s="169">
        <f t="shared" si="23"/>
        <v>0.22219991971095945</v>
      </c>
      <c r="U19" s="169">
        <f t="shared" si="24"/>
        <v>0.21152548906234941</v>
      </c>
      <c r="V19" s="169">
        <f t="shared" si="25"/>
        <v>0.22679830747531735</v>
      </c>
      <c r="W19" s="169">
        <f t="shared" si="26"/>
        <v>0.22963367960634226</v>
      </c>
      <c r="X19" s="169">
        <f t="shared" si="27"/>
        <v>0.19830083027611509</v>
      </c>
      <c r="Y19" s="169">
        <f t="shared" si="28"/>
        <v>0.1950278226530246</v>
      </c>
      <c r="Z19" s="170">
        <f t="shared" si="29"/>
        <v>0.19817046354120854</v>
      </c>
    </row>
    <row r="20" spans="1:26">
      <c r="B20" s="166" t="str">
        <f t="shared" si="19"/>
        <v>Med Device Revenues(%)</v>
      </c>
      <c r="C20" s="167">
        <f t="shared" ref="C20:E20" si="32">SUM(C12/C$14)</f>
        <v>0.33908322452065148</v>
      </c>
      <c r="D20" s="167">
        <f t="shared" si="32"/>
        <v>0.42102769951881125</v>
      </c>
      <c r="E20" s="167">
        <f t="shared" si="32"/>
        <v>0.45258641239570918</v>
      </c>
      <c r="F20" s="168"/>
      <c r="G20" s="167">
        <f t="shared" ref="G20:Q20" si="33">SUM(G12/G$14)</f>
        <v>0.40012311480455526</v>
      </c>
      <c r="H20" s="167">
        <f t="shared" si="33"/>
        <v>0.43044698336339948</v>
      </c>
      <c r="I20" s="167">
        <f t="shared" si="33"/>
        <v>0.41890959282263629</v>
      </c>
      <c r="J20" s="167">
        <f t="shared" si="33"/>
        <v>0.43384435113758424</v>
      </c>
      <c r="K20" s="167">
        <f t="shared" si="33"/>
        <v>0.44690887193898032</v>
      </c>
      <c r="L20" s="167">
        <f t="shared" si="33"/>
        <v>0.45620121422376408</v>
      </c>
      <c r="M20" s="167">
        <f t="shared" si="33"/>
        <v>0.44635637047484722</v>
      </c>
      <c r="N20" s="167">
        <f t="shared" si="33"/>
        <v>0.46036085292509565</v>
      </c>
      <c r="O20" s="167">
        <f t="shared" si="33"/>
        <v>0.47258157945549334</v>
      </c>
      <c r="P20" s="167">
        <f t="shared" si="33"/>
        <v>0.48187040028720157</v>
      </c>
      <c r="Q20" s="167">
        <f t="shared" si="33"/>
        <v>0.47919781862960681</v>
      </c>
      <c r="R20" s="168"/>
      <c r="S20" s="169">
        <f t="shared" si="22"/>
        <v>0.43384435113758424</v>
      </c>
      <c r="T20" s="169">
        <f t="shared" si="23"/>
        <v>0.44690887193898032</v>
      </c>
      <c r="U20" s="169">
        <f t="shared" si="24"/>
        <v>0.45620121422376408</v>
      </c>
      <c r="V20" s="169">
        <f t="shared" si="25"/>
        <v>0.44635637047484722</v>
      </c>
      <c r="W20" s="169">
        <f t="shared" si="26"/>
        <v>0.46036085292509565</v>
      </c>
      <c r="X20" s="169">
        <f t="shared" si="27"/>
        <v>0.47258157945549334</v>
      </c>
      <c r="Y20" s="169">
        <f t="shared" si="28"/>
        <v>0.48187040028720157</v>
      </c>
      <c r="Z20" s="170">
        <f t="shared" si="29"/>
        <v>0.47919781862960681</v>
      </c>
    </row>
    <row r="21" spans="1:26" ht="12.75" customHeight="1">
      <c r="B21" s="157" t="str">
        <f>B13&amp;"(%)"</f>
        <v>Other Revenues(%)</v>
      </c>
      <c r="C21" s="158">
        <f>SUM(C13/C$14)</f>
        <v>2.5198726318924244E-4</v>
      </c>
      <c r="D21" s="158">
        <f>SUM(D13/D$14)</f>
        <v>3.490488419058067E-4</v>
      </c>
      <c r="E21" s="158">
        <f>SUM(E13/E$14)</f>
        <v>3.8140643623361145E-4</v>
      </c>
      <c r="F21" s="159"/>
      <c r="G21" s="158">
        <f>SUM(G13/G$14)</f>
        <v>3.0778701138811941E-4</v>
      </c>
      <c r="H21" s="158">
        <f>SUM(H13/H$14)</f>
        <v>3.0066145520144319E-4</v>
      </c>
      <c r="I21" s="158">
        <f>SUM(I13/I$14)</f>
        <v>3.9436064280784776E-4</v>
      </c>
      <c r="J21" s="158">
        <f>SUM(J13/J$14)</f>
        <v>3.9058685675227026E-4</v>
      </c>
      <c r="K21" s="158">
        <f>SUM(K13/K$14)</f>
        <v>3.0108390204737056E-4</v>
      </c>
      <c r="L21" s="158">
        <f>SUM(L13/L$14)</f>
        <v>3.8546786161703766E-4</v>
      </c>
      <c r="M21" s="158">
        <f>SUM(M13/M$14)</f>
        <v>3.7611659614480487E-4</v>
      </c>
      <c r="N21" s="158">
        <f>SUM(N13/N$14)</f>
        <v>4.5562238017131401E-4</v>
      </c>
      <c r="O21" s="158">
        <f>SUM(O13/O$14)</f>
        <v>2.8963120293492954E-4</v>
      </c>
      <c r="P21" s="158">
        <f>SUM(P13/P$14)</f>
        <v>4.4875246813857474E-4</v>
      </c>
      <c r="Q21" s="158">
        <f>SUM(Q13/Q$14)</f>
        <v>3.5183393438297124E-4</v>
      </c>
      <c r="R21" s="159"/>
      <c r="S21" s="160">
        <f t="shared" si="11"/>
        <v>3.9058685675227026E-4</v>
      </c>
      <c r="T21" s="160">
        <f t="shared" si="12"/>
        <v>3.0108390204737056E-4</v>
      </c>
      <c r="U21" s="160">
        <f t="shared" si="13"/>
        <v>3.8546786161703766E-4</v>
      </c>
      <c r="V21" s="160">
        <f t="shared" si="14"/>
        <v>3.7611659614480487E-4</v>
      </c>
      <c r="W21" s="160">
        <f t="shared" si="15"/>
        <v>4.5562238017131401E-4</v>
      </c>
      <c r="X21" s="160">
        <f t="shared" si="16"/>
        <v>2.8963120293492954E-4</v>
      </c>
      <c r="Y21" s="160">
        <f t="shared" si="17"/>
        <v>4.4875246813857474E-4</v>
      </c>
      <c r="Z21" s="161">
        <f t="shared" si="18"/>
        <v>3.5183393438297124E-4</v>
      </c>
    </row>
    <row r="22" spans="1:26">
      <c r="B22" s="18"/>
      <c r="C22" s="19"/>
      <c r="D22" s="19"/>
      <c r="E22" s="19"/>
      <c r="F22" s="20"/>
      <c r="G22" s="21"/>
      <c r="H22" s="21"/>
      <c r="I22" s="21"/>
      <c r="J22" s="22"/>
      <c r="K22" s="21"/>
      <c r="L22" s="21"/>
      <c r="M22" s="21"/>
      <c r="N22" s="21"/>
      <c r="O22" s="21"/>
      <c r="P22" s="21"/>
      <c r="Q22" s="21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2.75" customHeight="1">
      <c r="A23" s="80" t="s">
        <v>16</v>
      </c>
      <c r="B23" s="78" t="s">
        <v>186</v>
      </c>
      <c r="C23" s="10"/>
      <c r="D23" s="10"/>
      <c r="E23" s="10"/>
      <c r="F23" s="10"/>
      <c r="G23" s="95"/>
      <c r="H23" s="95"/>
      <c r="I23" s="95"/>
      <c r="J23" s="32"/>
      <c r="K23" s="95"/>
      <c r="L23" s="95"/>
      <c r="M23" s="95"/>
      <c r="N23" s="32"/>
      <c r="O23" s="95"/>
      <c r="P23" s="95"/>
      <c r="Q23" s="95"/>
      <c r="R23" s="5"/>
      <c r="S23" s="11"/>
      <c r="T23" s="11"/>
      <c r="U23" s="11"/>
      <c r="V23" s="11"/>
      <c r="W23" s="11"/>
      <c r="X23" s="11"/>
      <c r="Y23" s="11"/>
      <c r="Z23" s="11"/>
    </row>
    <row r="24" spans="1:26" ht="12.75" customHeight="1">
      <c r="A24" s="80"/>
      <c r="B24" s="9" t="s">
        <v>189</v>
      </c>
      <c r="C24" s="81">
        <v>3481</v>
      </c>
      <c r="D24" s="81">
        <v>3934</v>
      </c>
      <c r="E24" s="81">
        <v>4023</v>
      </c>
      <c r="F24" s="10"/>
      <c r="G24" s="95">
        <v>924</v>
      </c>
      <c r="H24" s="95">
        <v>1024</v>
      </c>
      <c r="I24" s="95">
        <v>1001</v>
      </c>
      <c r="J24" s="32">
        <v>985</v>
      </c>
      <c r="K24" s="95">
        <v>1009</v>
      </c>
      <c r="L24" s="95">
        <v>1059</v>
      </c>
      <c r="M24" s="95">
        <v>955</v>
      </c>
      <c r="N24" s="32">
        <v>1000</v>
      </c>
      <c r="O24" s="82">
        <v>1041</v>
      </c>
      <c r="P24" s="82">
        <v>1054</v>
      </c>
      <c r="Q24" s="81">
        <v>977</v>
      </c>
      <c r="R24" s="5"/>
      <c r="S24" s="32">
        <f t="shared" ref="S24:Y25" si="34">SUM(G24:J24)</f>
        <v>3934</v>
      </c>
      <c r="T24" s="32">
        <f t="shared" si="34"/>
        <v>4019</v>
      </c>
      <c r="U24" s="32">
        <f t="shared" si="34"/>
        <v>4054</v>
      </c>
      <c r="V24" s="32">
        <f t="shared" si="34"/>
        <v>4008</v>
      </c>
      <c r="W24" s="32">
        <f t="shared" si="34"/>
        <v>4023</v>
      </c>
      <c r="X24" s="32">
        <f t="shared" si="34"/>
        <v>4055</v>
      </c>
      <c r="Y24" s="32">
        <f t="shared" si="34"/>
        <v>4050</v>
      </c>
      <c r="Z24" s="32">
        <f>SUM(N24:Q24)</f>
        <v>4072</v>
      </c>
    </row>
    <row r="25" spans="1:26">
      <c r="B25" s="9" t="s">
        <v>190</v>
      </c>
      <c r="C25" s="81">
        <v>3978</v>
      </c>
      <c r="D25" s="81">
        <v>4220</v>
      </c>
      <c r="E25" s="81">
        <v>4390</v>
      </c>
      <c r="F25" s="81"/>
      <c r="G25" s="95">
        <v>1043</v>
      </c>
      <c r="H25" s="95">
        <v>1052</v>
      </c>
      <c r="I25" s="95">
        <v>1072</v>
      </c>
      <c r="J25" s="32">
        <v>1053</v>
      </c>
      <c r="K25" s="95">
        <v>1059</v>
      </c>
      <c r="L25" s="95">
        <v>1091</v>
      </c>
      <c r="M25" s="95">
        <v>1111</v>
      </c>
      <c r="N25" s="32">
        <v>1129</v>
      </c>
      <c r="O25" s="82">
        <v>1105</v>
      </c>
      <c r="P25" s="82">
        <v>1158</v>
      </c>
      <c r="Q25" s="81">
        <v>1176</v>
      </c>
      <c r="R25" s="5"/>
      <c r="S25" s="32">
        <f t="shared" si="34"/>
        <v>4220</v>
      </c>
      <c r="T25" s="32">
        <f t="shared" si="34"/>
        <v>4236</v>
      </c>
      <c r="U25" s="32">
        <f t="shared" si="34"/>
        <v>4275</v>
      </c>
      <c r="V25" s="32">
        <f t="shared" si="34"/>
        <v>4314</v>
      </c>
      <c r="W25" s="32">
        <f t="shared" si="34"/>
        <v>4390</v>
      </c>
      <c r="X25" s="32">
        <f t="shared" si="34"/>
        <v>4436</v>
      </c>
      <c r="Y25" s="32">
        <f t="shared" si="34"/>
        <v>4503</v>
      </c>
      <c r="Z25" s="32">
        <f>SUM(N25:Q25)</f>
        <v>4568</v>
      </c>
    </row>
    <row r="26" spans="1:26">
      <c r="B26" s="13" t="s">
        <v>191</v>
      </c>
      <c r="C26" s="14">
        <f>SUM(C24:C25)</f>
        <v>7459</v>
      </c>
      <c r="D26" s="14">
        <f>SUM(D24:D25)</f>
        <v>8154</v>
      </c>
      <c r="E26" s="14">
        <f>SUM(E24:E25)</f>
        <v>8413</v>
      </c>
      <c r="F26" s="11"/>
      <c r="G26" s="14">
        <f>SUM(G24:G25)</f>
        <v>1967</v>
      </c>
      <c r="H26" s="14">
        <f>SUM(H24:H25)</f>
        <v>2076</v>
      </c>
      <c r="I26" s="14">
        <f>SUM(I24:I25)</f>
        <v>2073</v>
      </c>
      <c r="J26" s="14">
        <f>SUM(J24:J25)</f>
        <v>2038</v>
      </c>
      <c r="K26" s="14">
        <f>SUM(K24:K25)</f>
        <v>2068</v>
      </c>
      <c r="L26" s="14">
        <f>SUM(L24:L25)</f>
        <v>2150</v>
      </c>
      <c r="M26" s="14">
        <f>SUM(M24:M25)</f>
        <v>2066</v>
      </c>
      <c r="N26" s="14">
        <f>SUM(N24:N25)</f>
        <v>2129</v>
      </c>
      <c r="O26" s="14">
        <f>SUM(O24:O25)</f>
        <v>2146</v>
      </c>
      <c r="P26" s="14">
        <f>SUM(P24:P25)</f>
        <v>2212</v>
      </c>
      <c r="Q26" s="14">
        <f>SUM(Q24:Q25)</f>
        <v>2153</v>
      </c>
      <c r="R26" s="5"/>
      <c r="S26" s="14">
        <f>SUM(S24:S25)</f>
        <v>8154</v>
      </c>
      <c r="T26" s="14">
        <f>SUM(T24:T25)</f>
        <v>8255</v>
      </c>
      <c r="U26" s="14">
        <f>SUM(U24:U25)</f>
        <v>8329</v>
      </c>
      <c r="V26" s="14">
        <f>SUM(V24:V25)</f>
        <v>8322</v>
      </c>
      <c r="W26" s="14">
        <f>SUM(W24:W25)</f>
        <v>8413</v>
      </c>
      <c r="X26" s="14">
        <f>SUM(X24:X25)</f>
        <v>8491</v>
      </c>
      <c r="Y26" s="14">
        <f>SUM(Y24:Y25)</f>
        <v>8553</v>
      </c>
      <c r="Z26" s="14">
        <f>SUM(Z24:Z25)</f>
        <v>8640</v>
      </c>
    </row>
    <row r="27" spans="1:26">
      <c r="B27" s="18"/>
      <c r="C27" s="19"/>
      <c r="D27" s="19"/>
      <c r="E27" s="19"/>
      <c r="F27" s="20"/>
      <c r="G27" s="21"/>
      <c r="H27" s="21"/>
      <c r="I27" s="21"/>
      <c r="J27" s="22"/>
      <c r="K27" s="21"/>
      <c r="L27" s="21"/>
      <c r="M27" s="21"/>
      <c r="N27" s="21"/>
      <c r="O27" s="21"/>
      <c r="P27" s="21"/>
      <c r="Q27" s="21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B28" s="152" t="str">
        <f>B24&amp;"(%)"</f>
        <v>Pediatric Nutritionals(%)</v>
      </c>
      <c r="C28" s="153">
        <f>SUM(C24/C$14)</f>
        <v>7.9742514832886635E-2</v>
      </c>
      <c r="D28" s="153">
        <f>SUM(D24/D$14)</f>
        <v>9.8082724575531674E-2</v>
      </c>
      <c r="E28" s="153">
        <f>SUM(E24/E$14)</f>
        <v>9.5899880810488683E-2</v>
      </c>
      <c r="F28" s="154"/>
      <c r="G28" s="153">
        <f>SUM(G24/G$14)</f>
        <v>9.4798399507540779E-2</v>
      </c>
      <c r="H28" s="153">
        <f>SUM(H24/H$14)</f>
        <v>0.10262577670875928</v>
      </c>
      <c r="I28" s="153">
        <f>SUM(I24/I$14)</f>
        <v>9.8688750862663904E-2</v>
      </c>
      <c r="J28" s="153">
        <f>SUM(J24/J$14)</f>
        <v>9.6182013475246561E-2</v>
      </c>
      <c r="K28" s="153">
        <f>SUM(K24/K$14)</f>
        <v>0.10126455238859895</v>
      </c>
      <c r="L28" s="153">
        <f>SUM(L24/L$14)</f>
        <v>0.10205261636311072</v>
      </c>
      <c r="M28" s="153">
        <f>SUM(M24/M$14)</f>
        <v>8.9797837329572167E-2</v>
      </c>
      <c r="N28" s="153">
        <f>SUM(N24/N$14)</f>
        <v>9.1124476034262797E-2</v>
      </c>
      <c r="O28" s="153">
        <f>SUM(O24/O$14)</f>
        <v>0.10050202741842054</v>
      </c>
      <c r="P28" s="153">
        <f>SUM(P24/P$14)</f>
        <v>9.4597020283611555E-2</v>
      </c>
      <c r="Q28" s="153">
        <f>SUM(Q24/Q$14)</f>
        <v>8.5935438473040721E-2</v>
      </c>
      <c r="R28" s="154"/>
      <c r="S28" s="155">
        <f t="shared" ref="S28:S29" si="35">J28</f>
        <v>9.6182013475246561E-2</v>
      </c>
      <c r="T28" s="155">
        <f t="shared" ref="T28:T29" si="36">K28</f>
        <v>0.10126455238859895</v>
      </c>
      <c r="U28" s="155">
        <f t="shared" ref="U28:U29" si="37">L28</f>
        <v>0.10205261636311072</v>
      </c>
      <c r="V28" s="155">
        <f t="shared" ref="V28:V29" si="38">M28</f>
        <v>8.9797837329572167E-2</v>
      </c>
      <c r="W28" s="155">
        <f t="shared" ref="W28:W29" si="39">N28</f>
        <v>9.1124476034262797E-2</v>
      </c>
      <c r="X28" s="155">
        <f t="shared" ref="X28:X29" si="40">O28</f>
        <v>0.10050202741842054</v>
      </c>
      <c r="Y28" s="155">
        <f t="shared" ref="Y28:Y29" si="41">P28</f>
        <v>9.4597020283611555E-2</v>
      </c>
      <c r="Z28" s="156">
        <f t="shared" ref="Z28:Z29" si="42">Q28</f>
        <v>8.5935438473040721E-2</v>
      </c>
    </row>
    <row r="29" spans="1:26" ht="12.75" customHeight="1">
      <c r="B29" s="157" t="str">
        <f>B25&amp;"(%)"</f>
        <v>Adult Nutritionals(%)</v>
      </c>
      <c r="C29" s="158">
        <f>SUM(C25/C$14)</f>
        <v>9.1127757542436946E-2</v>
      </c>
      <c r="D29" s="158">
        <f>SUM(D25/D$14)</f>
        <v>0.10521329377446459</v>
      </c>
      <c r="E29" s="158">
        <f>SUM(E25/E$14)</f>
        <v>0.10464839094159714</v>
      </c>
      <c r="F29" s="159"/>
      <c r="G29" s="158">
        <f>SUM(G25/G$14)</f>
        <v>0.10700728429260285</v>
      </c>
      <c r="H29" s="158">
        <f>SUM(H25/H$14)</f>
        <v>0.10543195029063941</v>
      </c>
      <c r="I29" s="158">
        <f>SUM(I25/I$14)</f>
        <v>0.10568865227250321</v>
      </c>
      <c r="J29" s="158">
        <f>SUM(J25/J$14)</f>
        <v>0.10282199004003516</v>
      </c>
      <c r="K29" s="158">
        <f>SUM(K25/K$14)</f>
        <v>0.1062826174227218</v>
      </c>
      <c r="L29" s="158">
        <f>SUM(L25/L$14)</f>
        <v>0.10513635925604703</v>
      </c>
      <c r="M29" s="158">
        <f>SUM(M25/M$14)</f>
        <v>0.10446638457921956</v>
      </c>
      <c r="N29" s="158">
        <f>SUM(N25/N$14)</f>
        <v>0.10287953344268271</v>
      </c>
      <c r="O29" s="158">
        <f>SUM(O25/O$14)</f>
        <v>0.1066808264143657</v>
      </c>
      <c r="P29" s="158">
        <f>SUM(P25/P$14)</f>
        <v>0.10393107162089392</v>
      </c>
      <c r="Q29" s="158">
        <f>SUM(Q25/Q$14)</f>
        <v>0.10343917670859354</v>
      </c>
      <c r="R29" s="159"/>
      <c r="S29" s="160">
        <f t="shared" si="35"/>
        <v>0.10282199004003516</v>
      </c>
      <c r="T29" s="160">
        <f t="shared" si="36"/>
        <v>0.1062826174227218</v>
      </c>
      <c r="U29" s="160">
        <f t="shared" si="37"/>
        <v>0.10513635925604703</v>
      </c>
      <c r="V29" s="160">
        <f t="shared" si="38"/>
        <v>0.10446638457921956</v>
      </c>
      <c r="W29" s="160">
        <f t="shared" si="39"/>
        <v>0.10287953344268271</v>
      </c>
      <c r="X29" s="160">
        <f t="shared" si="40"/>
        <v>0.1066808264143657</v>
      </c>
      <c r="Y29" s="160">
        <f t="shared" si="41"/>
        <v>0.10393107162089392</v>
      </c>
      <c r="Z29" s="161">
        <f t="shared" si="42"/>
        <v>0.10343917670859354</v>
      </c>
    </row>
    <row r="31" spans="1:26" ht="12.75" customHeight="1">
      <c r="A31" s="80" t="s">
        <v>16</v>
      </c>
      <c r="B31" s="78" t="s">
        <v>187</v>
      </c>
      <c r="C31" s="10"/>
      <c r="D31" s="10"/>
      <c r="E31" s="10"/>
      <c r="F31" s="10"/>
      <c r="G31" s="95"/>
      <c r="H31" s="95"/>
      <c r="I31" s="95"/>
      <c r="J31" s="32"/>
      <c r="K31" s="95"/>
      <c r="L31" s="95"/>
      <c r="M31" s="95"/>
      <c r="N31" s="32"/>
      <c r="O31" s="95"/>
      <c r="P31" s="95"/>
      <c r="Q31" s="95"/>
      <c r="R31" s="5"/>
      <c r="S31" s="11"/>
      <c r="T31" s="11"/>
      <c r="U31" s="11"/>
      <c r="V31" s="11"/>
      <c r="W31" s="11"/>
      <c r="X31" s="11"/>
      <c r="Y31" s="11"/>
      <c r="Z31" s="11"/>
    </row>
    <row r="32" spans="1:26" ht="12.75" customHeight="1">
      <c r="A32" s="80"/>
      <c r="B32" s="9" t="s">
        <v>193</v>
      </c>
      <c r="C32" s="81">
        <v>4888</v>
      </c>
      <c r="D32" s="81">
        <v>5159</v>
      </c>
      <c r="E32" s="81">
        <v>5235</v>
      </c>
      <c r="F32" s="10"/>
      <c r="G32" s="95">
        <v>1182</v>
      </c>
      <c r="H32" s="95">
        <v>1293</v>
      </c>
      <c r="I32" s="95">
        <v>1314</v>
      </c>
      <c r="J32" s="32">
        <v>1370</v>
      </c>
      <c r="K32" s="95">
        <v>1205</v>
      </c>
      <c r="L32" s="95">
        <v>1329</v>
      </c>
      <c r="M32" s="95">
        <v>1314</v>
      </c>
      <c r="N32" s="32">
        <v>1387</v>
      </c>
      <c r="O32" s="82">
        <v>1177</v>
      </c>
      <c r="P32" s="82">
        <v>1358</v>
      </c>
      <c r="Q32" s="81">
        <v>1364</v>
      </c>
      <c r="R32" s="5"/>
      <c r="S32" s="32">
        <f t="shared" ref="S32" si="43">SUM(G32:J32)</f>
        <v>5159</v>
      </c>
      <c r="T32" s="32">
        <f t="shared" ref="T32" si="44">SUM(H32:K32)</f>
        <v>5182</v>
      </c>
      <c r="U32" s="32">
        <f t="shared" ref="U32" si="45">SUM(I32:L32)</f>
        <v>5218</v>
      </c>
      <c r="V32" s="32">
        <f t="shared" ref="V32" si="46">SUM(J32:M32)</f>
        <v>5218</v>
      </c>
      <c r="W32" s="32">
        <f t="shared" ref="W32" si="47">SUM(K32:N32)</f>
        <v>5235</v>
      </c>
      <c r="X32" s="32">
        <f t="shared" ref="X32" si="48">SUM(L32:O32)</f>
        <v>5207</v>
      </c>
      <c r="Y32" s="32">
        <f t="shared" ref="Y32" si="49">SUM(M32:P32)</f>
        <v>5236</v>
      </c>
      <c r="Z32" s="32">
        <f>SUM(N32:Q32)</f>
        <v>5286</v>
      </c>
    </row>
    <row r="33" spans="1:26" ht="12.75" customHeight="1">
      <c r="A33" s="80"/>
      <c r="B33" s="9" t="s">
        <v>194</v>
      </c>
      <c r="C33" s="81">
        <v>995</v>
      </c>
      <c r="D33" s="81">
        <v>574</v>
      </c>
      <c r="E33" s="81">
        <v>521</v>
      </c>
      <c r="F33" s="10"/>
      <c r="G33" s="95">
        <v>147</v>
      </c>
      <c r="H33" s="95">
        <v>141</v>
      </c>
      <c r="I33" s="95">
        <v>133</v>
      </c>
      <c r="J33" s="32">
        <v>153</v>
      </c>
      <c r="K33" s="95">
        <v>129</v>
      </c>
      <c r="L33" s="95">
        <v>127</v>
      </c>
      <c r="M33" s="95">
        <v>128</v>
      </c>
      <c r="N33" s="32">
        <v>137</v>
      </c>
      <c r="O33" s="82">
        <v>122</v>
      </c>
      <c r="P33" s="82">
        <v>123</v>
      </c>
      <c r="Q33" s="81">
        <v>131</v>
      </c>
      <c r="R33" s="5"/>
      <c r="S33" s="32">
        <f t="shared" ref="S33:S35" si="50">SUM(G33:J33)</f>
        <v>574</v>
      </c>
      <c r="T33" s="32">
        <f t="shared" ref="T33:T35" si="51">SUM(H33:K33)</f>
        <v>556</v>
      </c>
      <c r="U33" s="32">
        <f t="shared" ref="U33:U35" si="52">SUM(I33:L33)</f>
        <v>542</v>
      </c>
      <c r="V33" s="32">
        <f t="shared" ref="V33:V35" si="53">SUM(J33:M33)</f>
        <v>537</v>
      </c>
      <c r="W33" s="32">
        <f t="shared" ref="W33:W35" si="54">SUM(K33:N33)</f>
        <v>521</v>
      </c>
      <c r="X33" s="32">
        <f t="shared" ref="X33:X35" si="55">SUM(L33:O33)</f>
        <v>514</v>
      </c>
      <c r="Y33" s="32">
        <f t="shared" ref="Y33:Y35" si="56">SUM(M33:P33)</f>
        <v>510</v>
      </c>
      <c r="Z33" s="32">
        <f t="shared" ref="Z33:Z35" si="57">SUM(N33:Q33)</f>
        <v>513</v>
      </c>
    </row>
    <row r="34" spans="1:26" ht="12.75" customHeight="1">
      <c r="A34" s="80"/>
      <c r="B34" s="9" t="s">
        <v>195</v>
      </c>
      <c r="C34" s="81">
        <v>525</v>
      </c>
      <c r="D34" s="81">
        <v>565</v>
      </c>
      <c r="E34" s="81">
        <v>588</v>
      </c>
      <c r="F34" s="10"/>
      <c r="G34" s="95">
        <v>134</v>
      </c>
      <c r="H34" s="95">
        <v>142</v>
      </c>
      <c r="I34" s="95">
        <v>140</v>
      </c>
      <c r="J34" s="32">
        <v>149</v>
      </c>
      <c r="K34" s="95">
        <v>139</v>
      </c>
      <c r="L34" s="95">
        <v>156</v>
      </c>
      <c r="M34" s="95">
        <v>146</v>
      </c>
      <c r="N34" s="32">
        <v>147</v>
      </c>
      <c r="O34" s="82">
        <v>142</v>
      </c>
      <c r="P34" s="82">
        <v>148</v>
      </c>
      <c r="Q34" s="81">
        <v>158</v>
      </c>
      <c r="R34" s="5"/>
      <c r="S34" s="32">
        <f t="shared" si="50"/>
        <v>565</v>
      </c>
      <c r="T34" s="32">
        <f t="shared" si="51"/>
        <v>570</v>
      </c>
      <c r="U34" s="32">
        <f t="shared" si="52"/>
        <v>584</v>
      </c>
      <c r="V34" s="32">
        <f t="shared" si="53"/>
        <v>590</v>
      </c>
      <c r="W34" s="32">
        <f t="shared" si="54"/>
        <v>588</v>
      </c>
      <c r="X34" s="32">
        <f t="shared" si="55"/>
        <v>591</v>
      </c>
      <c r="Y34" s="32">
        <f t="shared" si="56"/>
        <v>583</v>
      </c>
      <c r="Z34" s="32">
        <f t="shared" si="57"/>
        <v>595</v>
      </c>
    </row>
    <row r="35" spans="1:26">
      <c r="B35" s="9" t="s">
        <v>196</v>
      </c>
      <c r="C35" s="81">
        <v>10061</v>
      </c>
      <c r="D35" s="81">
        <v>3690</v>
      </c>
      <c r="E35" s="81">
        <v>2997</v>
      </c>
      <c r="F35" s="81"/>
      <c r="G35" s="95">
        <v>1225</v>
      </c>
      <c r="H35" s="95">
        <v>741</v>
      </c>
      <c r="I35" s="95">
        <v>862</v>
      </c>
      <c r="J35" s="32">
        <v>862</v>
      </c>
      <c r="K35" s="95">
        <v>741</v>
      </c>
      <c r="L35" s="95">
        <v>583</v>
      </c>
      <c r="M35" s="95">
        <v>824</v>
      </c>
      <c r="N35" s="32">
        <v>849</v>
      </c>
      <c r="O35" s="82">
        <v>613</v>
      </c>
      <c r="P35" s="82">
        <v>544</v>
      </c>
      <c r="Q35" s="81">
        <v>600</v>
      </c>
      <c r="R35" s="5"/>
      <c r="S35" s="32">
        <f t="shared" si="50"/>
        <v>3690</v>
      </c>
      <c r="T35" s="32">
        <f t="shared" si="51"/>
        <v>3206</v>
      </c>
      <c r="U35" s="32">
        <f t="shared" si="52"/>
        <v>3048</v>
      </c>
      <c r="V35" s="32">
        <f t="shared" si="53"/>
        <v>3010</v>
      </c>
      <c r="W35" s="32">
        <f t="shared" si="54"/>
        <v>2997</v>
      </c>
      <c r="X35" s="32">
        <f t="shared" si="55"/>
        <v>2869</v>
      </c>
      <c r="Y35" s="32">
        <f t="shared" si="56"/>
        <v>2830</v>
      </c>
      <c r="Z35" s="32">
        <f t="shared" si="57"/>
        <v>2606</v>
      </c>
    </row>
    <row r="36" spans="1:26">
      <c r="B36" s="13" t="s">
        <v>192</v>
      </c>
      <c r="C36" s="14">
        <f>SUM(C32:C35)</f>
        <v>16469</v>
      </c>
      <c r="D36" s="14">
        <f>SUM(D32:D35)</f>
        <v>9988</v>
      </c>
      <c r="E36" s="14">
        <f>SUM(E32:E35)</f>
        <v>9341</v>
      </c>
      <c r="F36" s="11"/>
      <c r="G36" s="14">
        <f>SUM(G32:G35)</f>
        <v>2688</v>
      </c>
      <c r="H36" s="14">
        <f>SUM(H32:H35)</f>
        <v>2317</v>
      </c>
      <c r="I36" s="14">
        <f>SUM(I32:I35)</f>
        <v>2449</v>
      </c>
      <c r="J36" s="14">
        <f>SUM(J32:J35)</f>
        <v>2534</v>
      </c>
      <c r="K36" s="14">
        <f>SUM(K32:K35)</f>
        <v>2214</v>
      </c>
      <c r="L36" s="14">
        <f>SUM(L32:L35)</f>
        <v>2195</v>
      </c>
      <c r="M36" s="14">
        <f>SUM(M32:M35)</f>
        <v>2412</v>
      </c>
      <c r="N36" s="14">
        <f>SUM(N32:N35)</f>
        <v>2520</v>
      </c>
      <c r="O36" s="14">
        <f>SUM(O32:O35)</f>
        <v>2054</v>
      </c>
      <c r="P36" s="14">
        <f>SUM(P32:P35)</f>
        <v>2173</v>
      </c>
      <c r="Q36" s="14">
        <f>SUM(Q32:Q35)</f>
        <v>2253</v>
      </c>
      <c r="R36" s="5"/>
      <c r="S36" s="14">
        <f>SUM(S32:S35)</f>
        <v>9988</v>
      </c>
      <c r="T36" s="14">
        <f>SUM(T32:T35)</f>
        <v>9514</v>
      </c>
      <c r="U36" s="14">
        <f>SUM(U32:U35)</f>
        <v>9392</v>
      </c>
      <c r="V36" s="14">
        <f>SUM(V32:V35)</f>
        <v>9355</v>
      </c>
      <c r="W36" s="14">
        <f>SUM(W32:W35)</f>
        <v>9341</v>
      </c>
      <c r="X36" s="14">
        <f>SUM(X32:X35)</f>
        <v>9181</v>
      </c>
      <c r="Y36" s="14">
        <f>SUM(Y32:Y35)</f>
        <v>9159</v>
      </c>
      <c r="Z36" s="14">
        <f>SUM(Z32:Z35)</f>
        <v>9000</v>
      </c>
    </row>
    <row r="37" spans="1:26">
      <c r="B37" s="18"/>
      <c r="C37" s="19"/>
      <c r="D37" s="19"/>
      <c r="E37" s="19"/>
      <c r="F37" s="20"/>
      <c r="G37" s="21"/>
      <c r="H37" s="21"/>
      <c r="I37" s="21"/>
      <c r="J37" s="22"/>
      <c r="K37" s="21"/>
      <c r="L37" s="21"/>
      <c r="M37" s="21"/>
      <c r="N37" s="21"/>
      <c r="O37" s="21"/>
      <c r="P37" s="21"/>
      <c r="Q37" s="21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B38" s="152" t="str">
        <f>B32&amp;"(%)"</f>
        <v>Core Lab(%)</v>
      </c>
      <c r="C38" s="153">
        <f>SUM(C32/C$14)</f>
        <v>0.11197397658809245</v>
      </c>
      <c r="D38" s="153">
        <f>SUM(D32/D$14)</f>
        <v>0.12862449824228975</v>
      </c>
      <c r="E38" s="153">
        <f>SUM(E32/E$14)</f>
        <v>0.12479141835518474</v>
      </c>
      <c r="F38" s="154"/>
      <c r="G38" s="153">
        <f>SUM(G32/G$14)</f>
        <v>0.12126808248691905</v>
      </c>
      <c r="H38" s="153">
        <f>SUM(H32/H$14)</f>
        <v>0.12958508719182202</v>
      </c>
      <c r="I38" s="153">
        <f>SUM(I32/I$14)</f>
        <v>0.129547471162378</v>
      </c>
      <c r="J38" s="153">
        <f>SUM(J32/J$14)</f>
        <v>0.13377599843765256</v>
      </c>
      <c r="K38" s="153">
        <f>SUM(K32/K$14)</f>
        <v>0.1209353673223605</v>
      </c>
      <c r="L38" s="153">
        <f>SUM(L32/L$14)</f>
        <v>0.12807169702226076</v>
      </c>
      <c r="M38" s="153">
        <f>SUM(M32/M$14)</f>
        <v>0.1235543018335684</v>
      </c>
      <c r="N38" s="153">
        <f>SUM(N32/N$14)</f>
        <v>0.12638964825952251</v>
      </c>
      <c r="O38" s="153">
        <f>SUM(O32/O$14)</f>
        <v>0.11363197528480401</v>
      </c>
      <c r="P38" s="153">
        <f>SUM(P32/P$14)</f>
        <v>0.1218811703464369</v>
      </c>
      <c r="Q38" s="153">
        <f>SUM(Q32/Q$14)</f>
        <v>0.11997537162459319</v>
      </c>
      <c r="R38" s="154"/>
      <c r="S38" s="155">
        <f t="shared" ref="S38:S41" si="58">J38</f>
        <v>0.13377599843765256</v>
      </c>
      <c r="T38" s="155">
        <f t="shared" ref="T38:T41" si="59">K38</f>
        <v>0.1209353673223605</v>
      </c>
      <c r="U38" s="155">
        <f t="shared" ref="U38:U41" si="60">L38</f>
        <v>0.12807169702226076</v>
      </c>
      <c r="V38" s="155">
        <f t="shared" ref="V38:V41" si="61">M38</f>
        <v>0.1235543018335684</v>
      </c>
      <c r="W38" s="155">
        <f t="shared" ref="W38:W41" si="62">N38</f>
        <v>0.12638964825952251</v>
      </c>
      <c r="X38" s="155">
        <f t="shared" ref="X38:X41" si="63">O38</f>
        <v>0.11363197528480401</v>
      </c>
      <c r="Y38" s="155">
        <f t="shared" ref="Y38:Y41" si="64">P38</f>
        <v>0.1218811703464369</v>
      </c>
      <c r="Z38" s="156">
        <f t="shared" ref="Z38:Z41" si="65">Q38</f>
        <v>0.11997537162459319</v>
      </c>
    </row>
    <row r="39" spans="1:26">
      <c r="B39" s="166" t="str">
        <f>B33&amp;"(%)"</f>
        <v>Molecular(%)</v>
      </c>
      <c r="C39" s="167">
        <f>SUM(C33/C$14)</f>
        <v>2.2793393352117837E-2</v>
      </c>
      <c r="D39" s="167">
        <f>SUM(D33/D$14)</f>
        <v>1.4311002518138074E-2</v>
      </c>
      <c r="E39" s="167">
        <f>SUM(E33/E$14)</f>
        <v>1.2419547079856973E-2</v>
      </c>
      <c r="F39" s="168"/>
      <c r="G39" s="167">
        <f>SUM(G33/G$14)</f>
        <v>1.5081563558017852E-2</v>
      </c>
      <c r="H39" s="167">
        <f>SUM(H33/H$14)</f>
        <v>1.413108839446783E-2</v>
      </c>
      <c r="I39" s="167">
        <f>SUM(I33/I$14)</f>
        <v>1.3112491373360938E-2</v>
      </c>
      <c r="J39" s="167">
        <f>SUM(J33/J$14)</f>
        <v>1.4939947270774339E-2</v>
      </c>
      <c r="K39" s="167">
        <f>SUM(K33/K$14)</f>
        <v>1.2946607788036933E-2</v>
      </c>
      <c r="L39" s="167">
        <f>SUM(L33/L$14)</f>
        <v>1.2238604606340946E-2</v>
      </c>
      <c r="M39" s="167">
        <f>SUM(M33/M$14)</f>
        <v>1.2035731076633756E-2</v>
      </c>
      <c r="N39" s="167">
        <f>SUM(N33/N$14)</f>
        <v>1.2484053216694003E-2</v>
      </c>
      <c r="O39" s="167">
        <f>SUM(O33/O$14)</f>
        <v>1.1778335586020467E-2</v>
      </c>
      <c r="P39" s="167">
        <f>SUM(P33/P$14)</f>
        <v>1.1039310716208939E-2</v>
      </c>
      <c r="Q39" s="167">
        <f>SUM(Q33/Q$14)</f>
        <v>1.1522561351042309E-2</v>
      </c>
      <c r="R39" s="168"/>
      <c r="S39" s="169">
        <f t="shared" ref="S39:S40" si="66">J39</f>
        <v>1.4939947270774339E-2</v>
      </c>
      <c r="T39" s="169">
        <f t="shared" ref="T39:T40" si="67">K39</f>
        <v>1.2946607788036933E-2</v>
      </c>
      <c r="U39" s="169">
        <f t="shared" ref="U39:U40" si="68">L39</f>
        <v>1.2238604606340946E-2</v>
      </c>
      <c r="V39" s="169">
        <f t="shared" ref="V39:V40" si="69">M39</f>
        <v>1.2035731076633756E-2</v>
      </c>
      <c r="W39" s="169">
        <f t="shared" ref="W39:W40" si="70">N39</f>
        <v>1.2484053216694003E-2</v>
      </c>
      <c r="X39" s="169">
        <f t="shared" ref="X39:X40" si="71">O39</f>
        <v>1.1778335586020467E-2</v>
      </c>
      <c r="Y39" s="169">
        <f t="shared" ref="Y39:Y40" si="72">P39</f>
        <v>1.1039310716208939E-2</v>
      </c>
      <c r="Z39" s="170">
        <f t="shared" ref="Z39:Z40" si="73">Q39</f>
        <v>1.1522561351042309E-2</v>
      </c>
    </row>
    <row r="40" spans="1:26">
      <c r="B40" s="166" t="str">
        <f>B34&amp;"(%)"</f>
        <v>Point of Care(%)</v>
      </c>
      <c r="C40" s="167">
        <f>SUM(C34/C$14)</f>
        <v>1.2026664834032025E-2</v>
      </c>
      <c r="D40" s="167">
        <f>SUM(D34/D$14)</f>
        <v>1.4086613976912913E-2</v>
      </c>
      <c r="E40" s="167">
        <f>SUM(E34/E$14)</f>
        <v>1.4016686531585221E-2</v>
      </c>
      <c r="F40" s="168"/>
      <c r="G40" s="167">
        <f>SUM(G34/G$14)</f>
        <v>1.3747819842002667E-2</v>
      </c>
      <c r="H40" s="167">
        <f>SUM(H34/H$14)</f>
        <v>1.4231308879534978E-2</v>
      </c>
      <c r="I40" s="167">
        <f>SUM(I34/I$14)</f>
        <v>1.3802622498274672E-2</v>
      </c>
      <c r="J40" s="167">
        <f>SUM(J34/J$14)</f>
        <v>1.4549360414022067E-2</v>
      </c>
      <c r="K40" s="167">
        <f>SUM(K34/K$14)</f>
        <v>1.3950220794861501E-2</v>
      </c>
      <c r="L40" s="167">
        <f>SUM(L34/L$14)</f>
        <v>1.503324660306447E-2</v>
      </c>
      <c r="M40" s="167">
        <f>SUM(M34/M$14)</f>
        <v>1.3728255759285379E-2</v>
      </c>
      <c r="N40" s="167">
        <f>SUM(N34/N$14)</f>
        <v>1.3395297977036633E-2</v>
      </c>
      <c r="O40" s="167">
        <f>SUM(O34/O$14)</f>
        <v>1.370921027225333E-2</v>
      </c>
      <c r="P40" s="167">
        <f>SUM(P34/P$14)</f>
        <v>1.3283073056901813E-2</v>
      </c>
      <c r="Q40" s="167">
        <f>SUM(Q34/Q$14)</f>
        <v>1.3897440408127364E-2</v>
      </c>
      <c r="R40" s="168"/>
      <c r="S40" s="169">
        <f t="shared" si="66"/>
        <v>1.4549360414022067E-2</v>
      </c>
      <c r="T40" s="169">
        <f t="shared" si="67"/>
        <v>1.3950220794861501E-2</v>
      </c>
      <c r="U40" s="169">
        <f t="shared" si="68"/>
        <v>1.503324660306447E-2</v>
      </c>
      <c r="V40" s="169">
        <f t="shared" si="69"/>
        <v>1.3728255759285379E-2</v>
      </c>
      <c r="W40" s="169">
        <f t="shared" si="70"/>
        <v>1.3395297977036633E-2</v>
      </c>
      <c r="X40" s="169">
        <f t="shared" si="71"/>
        <v>1.370921027225333E-2</v>
      </c>
      <c r="Y40" s="169">
        <f t="shared" si="72"/>
        <v>1.3283073056901813E-2</v>
      </c>
      <c r="Z40" s="170">
        <f t="shared" si="73"/>
        <v>1.3897440408127364E-2</v>
      </c>
    </row>
    <row r="41" spans="1:26" ht="12.75" customHeight="1">
      <c r="B41" s="157" t="str">
        <f>B35&amp;"(%)"</f>
        <v>Rapid Diagnostics(%)</v>
      </c>
      <c r="C41" s="158">
        <f>SUM(C35/C$14)</f>
        <v>0.23047671408608802</v>
      </c>
      <c r="D41" s="158">
        <f>SUM(D35/D$14)</f>
        <v>9.1999301902316186E-2</v>
      </c>
      <c r="E41" s="158">
        <f>SUM(E35/E$14)</f>
        <v>7.1442193087008346E-2</v>
      </c>
      <c r="F41" s="159"/>
      <c r="G41" s="158">
        <f>SUM(G35/G$14)</f>
        <v>0.12567969631681544</v>
      </c>
      <c r="H41" s="158">
        <f>SUM(H35/H$14)</f>
        <v>7.4263379434756457E-2</v>
      </c>
      <c r="I41" s="158">
        <f>SUM(I35/I$14)</f>
        <v>8.4984718525091194E-2</v>
      </c>
      <c r="J41" s="158">
        <f>SUM(J35/J$14)</f>
        <v>8.4171467630114252E-2</v>
      </c>
      <c r="K41" s="158">
        <f>SUM(K35/K$14)</f>
        <v>7.4367723805700517E-2</v>
      </c>
      <c r="L41" s="158">
        <f>SUM(L35/L$14)</f>
        <v>5.6181940830683244E-2</v>
      </c>
      <c r="M41" s="158">
        <f>SUM(M35/M$14)</f>
        <v>7.7480018805829803E-2</v>
      </c>
      <c r="N41" s="158">
        <f>SUM(N35/N$14)</f>
        <v>7.7364680153089116E-2</v>
      </c>
      <c r="O41" s="158">
        <f>SUM(O35/O$14)</f>
        <v>5.9181309133037263E-2</v>
      </c>
      <c r="P41" s="158">
        <f>SUM(P35/P$14)</f>
        <v>4.8824268533476933E-2</v>
      </c>
      <c r="Q41" s="158">
        <f>SUM(Q35/Q$14)</f>
        <v>5.2775090157445685E-2</v>
      </c>
      <c r="R41" s="159"/>
      <c r="S41" s="160">
        <f t="shared" si="58"/>
        <v>8.4171467630114252E-2</v>
      </c>
      <c r="T41" s="160">
        <f t="shared" si="59"/>
        <v>7.4367723805700517E-2</v>
      </c>
      <c r="U41" s="160">
        <f t="shared" si="60"/>
        <v>5.6181940830683244E-2</v>
      </c>
      <c r="V41" s="160">
        <f t="shared" si="61"/>
        <v>7.7480018805829803E-2</v>
      </c>
      <c r="W41" s="160">
        <f t="shared" si="62"/>
        <v>7.7364680153089116E-2</v>
      </c>
      <c r="X41" s="160">
        <f t="shared" si="63"/>
        <v>5.9181309133037263E-2</v>
      </c>
      <c r="Y41" s="160">
        <f t="shared" si="64"/>
        <v>4.8824268533476933E-2</v>
      </c>
      <c r="Z41" s="161">
        <f t="shared" si="65"/>
        <v>5.2775090157445685E-2</v>
      </c>
    </row>
    <row r="43" spans="1:26" ht="12.75" customHeight="1">
      <c r="A43" s="80" t="s">
        <v>16</v>
      </c>
      <c r="B43" s="78" t="s">
        <v>188</v>
      </c>
      <c r="C43" s="10"/>
      <c r="D43" s="10"/>
      <c r="E43" s="10"/>
      <c r="F43" s="10"/>
      <c r="G43" s="95"/>
      <c r="H43" s="95"/>
      <c r="I43" s="95"/>
      <c r="J43" s="32"/>
      <c r="K43" s="95"/>
      <c r="L43" s="95"/>
      <c r="M43" s="95"/>
      <c r="N43" s="32"/>
      <c r="O43" s="95"/>
      <c r="P43" s="95"/>
      <c r="Q43" s="95"/>
      <c r="R43" s="5"/>
      <c r="S43" s="11"/>
      <c r="T43" s="11"/>
      <c r="U43" s="11"/>
      <c r="V43" s="11"/>
      <c r="W43" s="11"/>
      <c r="X43" s="11"/>
      <c r="Y43" s="11"/>
      <c r="Z43" s="11"/>
    </row>
    <row r="44" spans="1:26" ht="12.75" customHeight="1">
      <c r="A44" s="80"/>
      <c r="B44" s="9" t="s">
        <v>198</v>
      </c>
      <c r="C44" s="81">
        <v>2119</v>
      </c>
      <c r="D44" s="81">
        <v>2255</v>
      </c>
      <c r="E44" s="81">
        <v>2390</v>
      </c>
      <c r="F44" s="10"/>
      <c r="G44" s="95">
        <v>527</v>
      </c>
      <c r="H44" s="95">
        <v>583</v>
      </c>
      <c r="I44" s="95">
        <v>563</v>
      </c>
      <c r="J44" s="32">
        <v>582</v>
      </c>
      <c r="K44" s="95">
        <v>562</v>
      </c>
      <c r="L44" s="95">
        <v>607</v>
      </c>
      <c r="M44" s="95">
        <v>597</v>
      </c>
      <c r="N44" s="32">
        <v>624</v>
      </c>
      <c r="O44" s="82">
        <v>585</v>
      </c>
      <c r="P44" s="82">
        <v>673</v>
      </c>
      <c r="Q44" s="81">
        <v>686</v>
      </c>
      <c r="R44" s="5"/>
      <c r="S44" s="32">
        <f t="shared" ref="S44" si="74">SUM(G44:J44)</f>
        <v>2255</v>
      </c>
      <c r="T44" s="32">
        <f t="shared" ref="T44" si="75">SUM(H44:K44)</f>
        <v>2290</v>
      </c>
      <c r="U44" s="32">
        <f t="shared" ref="U44" si="76">SUM(I44:L44)</f>
        <v>2314</v>
      </c>
      <c r="V44" s="32">
        <f t="shared" ref="V44" si="77">SUM(J44:M44)</f>
        <v>2348</v>
      </c>
      <c r="W44" s="32">
        <f t="shared" ref="W44" si="78">SUM(K44:N44)</f>
        <v>2390</v>
      </c>
      <c r="X44" s="32">
        <f t="shared" ref="X44" si="79">SUM(L44:O44)</f>
        <v>2413</v>
      </c>
      <c r="Y44" s="32">
        <f t="shared" ref="Y44" si="80">SUM(M44:P44)</f>
        <v>2479</v>
      </c>
      <c r="Z44" s="32">
        <f>SUM(N44:Q44)</f>
        <v>2568</v>
      </c>
    </row>
    <row r="45" spans="1:26" ht="12.75" customHeight="1">
      <c r="A45" s="80"/>
      <c r="B45" s="9" t="s">
        <v>199</v>
      </c>
      <c r="C45" s="81">
        <v>1927</v>
      </c>
      <c r="D45" s="81">
        <v>2195</v>
      </c>
      <c r="E45" s="81">
        <v>2467</v>
      </c>
      <c r="F45" s="10"/>
      <c r="G45" s="95">
        <v>505</v>
      </c>
      <c r="H45" s="95">
        <v>553</v>
      </c>
      <c r="I45" s="95">
        <v>544</v>
      </c>
      <c r="J45" s="32">
        <v>593</v>
      </c>
      <c r="K45" s="95">
        <v>587</v>
      </c>
      <c r="L45" s="95">
        <v>627</v>
      </c>
      <c r="M45" s="95">
        <v>610</v>
      </c>
      <c r="N45" s="32">
        <v>643</v>
      </c>
      <c r="O45" s="82">
        <v>629</v>
      </c>
      <c r="P45" s="82">
        <v>700</v>
      </c>
      <c r="Q45" s="81">
        <v>705</v>
      </c>
      <c r="R45" s="5"/>
      <c r="S45" s="32">
        <f t="shared" ref="S45:S50" si="81">SUM(G45:J45)</f>
        <v>2195</v>
      </c>
      <c r="T45" s="32">
        <f t="shared" ref="T45:T50" si="82">SUM(H45:K45)</f>
        <v>2277</v>
      </c>
      <c r="U45" s="32">
        <f t="shared" ref="U45:U50" si="83">SUM(I45:L45)</f>
        <v>2351</v>
      </c>
      <c r="V45" s="32">
        <f t="shared" ref="V45:V50" si="84">SUM(J45:M45)</f>
        <v>2417</v>
      </c>
      <c r="W45" s="32">
        <f t="shared" ref="W45:W50" si="85">SUM(K45:N45)</f>
        <v>2467</v>
      </c>
      <c r="X45" s="32">
        <f t="shared" ref="X45:X50" si="86">SUM(L45:O45)</f>
        <v>2509</v>
      </c>
      <c r="Y45" s="32">
        <f t="shared" ref="Y45:Y50" si="87">SUM(M45:P45)</f>
        <v>2582</v>
      </c>
      <c r="Z45" s="32">
        <f t="shared" ref="Z45:Z50" si="88">SUM(N45:Q45)</f>
        <v>2677</v>
      </c>
    </row>
    <row r="46" spans="1:26" ht="12.75" customHeight="1">
      <c r="A46" s="80"/>
      <c r="B46" s="9" t="s">
        <v>200</v>
      </c>
      <c r="C46" s="81">
        <v>1035</v>
      </c>
      <c r="D46" s="81">
        <v>1161</v>
      </c>
      <c r="E46" s="81">
        <v>1279</v>
      </c>
      <c r="F46" s="10"/>
      <c r="G46" s="95">
        <v>281</v>
      </c>
      <c r="H46" s="95">
        <v>295</v>
      </c>
      <c r="I46" s="95">
        <v>284</v>
      </c>
      <c r="J46" s="32">
        <v>301</v>
      </c>
      <c r="K46" s="95">
        <v>305</v>
      </c>
      <c r="L46" s="95">
        <v>321</v>
      </c>
      <c r="M46" s="95">
        <v>322</v>
      </c>
      <c r="N46" s="32">
        <v>331</v>
      </c>
      <c r="O46" s="82">
        <v>339</v>
      </c>
      <c r="P46" s="82">
        <v>368</v>
      </c>
      <c r="Q46" s="81">
        <v>366</v>
      </c>
      <c r="R46" s="5"/>
      <c r="S46" s="32">
        <f t="shared" si="81"/>
        <v>1161</v>
      </c>
      <c r="T46" s="32">
        <f t="shared" si="82"/>
        <v>1185</v>
      </c>
      <c r="U46" s="32">
        <f t="shared" si="83"/>
        <v>1211</v>
      </c>
      <c r="V46" s="32">
        <f t="shared" si="84"/>
        <v>1249</v>
      </c>
      <c r="W46" s="32">
        <f t="shared" si="85"/>
        <v>1279</v>
      </c>
      <c r="X46" s="32">
        <f t="shared" si="86"/>
        <v>1313</v>
      </c>
      <c r="Y46" s="32">
        <f t="shared" si="87"/>
        <v>1360</v>
      </c>
      <c r="Z46" s="32">
        <f t="shared" si="88"/>
        <v>1404</v>
      </c>
    </row>
    <row r="47" spans="1:26" ht="12.75" customHeight="1">
      <c r="A47" s="80"/>
      <c r="B47" s="9" t="s">
        <v>201</v>
      </c>
      <c r="C47" s="81">
        <v>2483</v>
      </c>
      <c r="D47" s="81">
        <v>2681</v>
      </c>
      <c r="E47" s="81">
        <v>2837</v>
      </c>
      <c r="F47" s="10"/>
      <c r="G47" s="95">
        <v>617</v>
      </c>
      <c r="H47" s="95">
        <v>715</v>
      </c>
      <c r="I47" s="95">
        <v>672</v>
      </c>
      <c r="J47" s="32">
        <v>677</v>
      </c>
      <c r="K47" s="95">
        <v>689</v>
      </c>
      <c r="L47" s="95">
        <v>724</v>
      </c>
      <c r="M47" s="95">
        <v>699</v>
      </c>
      <c r="N47" s="32">
        <v>725</v>
      </c>
      <c r="O47" s="82">
        <v>710</v>
      </c>
      <c r="P47" s="82">
        <v>757</v>
      </c>
      <c r="Q47" s="81">
        <v>745</v>
      </c>
      <c r="R47" s="5"/>
      <c r="S47" s="32">
        <f t="shared" si="81"/>
        <v>2681</v>
      </c>
      <c r="T47" s="32">
        <f t="shared" si="82"/>
        <v>2753</v>
      </c>
      <c r="U47" s="32">
        <f t="shared" si="83"/>
        <v>2762</v>
      </c>
      <c r="V47" s="32">
        <f t="shared" si="84"/>
        <v>2789</v>
      </c>
      <c r="W47" s="32">
        <f t="shared" si="85"/>
        <v>2837</v>
      </c>
      <c r="X47" s="32">
        <f t="shared" si="86"/>
        <v>2858</v>
      </c>
      <c r="Y47" s="32">
        <f t="shared" si="87"/>
        <v>2891</v>
      </c>
      <c r="Z47" s="32">
        <f t="shared" si="88"/>
        <v>2937</v>
      </c>
    </row>
    <row r="48" spans="1:26" ht="12.75" customHeight="1">
      <c r="A48" s="80"/>
      <c r="B48" s="9" t="s">
        <v>202</v>
      </c>
      <c r="C48" s="81">
        <v>1712</v>
      </c>
      <c r="D48" s="81">
        <v>1944</v>
      </c>
      <c r="E48" s="81">
        <v>2246</v>
      </c>
      <c r="F48" s="10"/>
      <c r="G48" s="95">
        <v>461</v>
      </c>
      <c r="H48" s="95">
        <v>498</v>
      </c>
      <c r="I48" s="95">
        <v>487</v>
      </c>
      <c r="J48" s="32">
        <v>498</v>
      </c>
      <c r="K48" s="95">
        <v>515</v>
      </c>
      <c r="L48" s="95">
        <v>564</v>
      </c>
      <c r="M48" s="95">
        <v>558</v>
      </c>
      <c r="N48" s="32">
        <v>609</v>
      </c>
      <c r="O48" s="82">
        <v>577</v>
      </c>
      <c r="P48" s="82">
        <v>636</v>
      </c>
      <c r="Q48" s="81">
        <v>635</v>
      </c>
      <c r="R48" s="5"/>
      <c r="S48" s="32">
        <f t="shared" si="81"/>
        <v>1944</v>
      </c>
      <c r="T48" s="32">
        <f t="shared" si="82"/>
        <v>1998</v>
      </c>
      <c r="U48" s="32">
        <f t="shared" si="83"/>
        <v>2064</v>
      </c>
      <c r="V48" s="32">
        <f t="shared" si="84"/>
        <v>2135</v>
      </c>
      <c r="W48" s="32">
        <f t="shared" si="85"/>
        <v>2246</v>
      </c>
      <c r="X48" s="32">
        <f t="shared" si="86"/>
        <v>2308</v>
      </c>
      <c r="Y48" s="32">
        <f t="shared" si="87"/>
        <v>2380</v>
      </c>
      <c r="Z48" s="32">
        <f t="shared" si="88"/>
        <v>2457</v>
      </c>
    </row>
    <row r="49" spans="1:38" ht="12.75" customHeight="1">
      <c r="A49" s="80"/>
      <c r="B49" s="9" t="s">
        <v>203</v>
      </c>
      <c r="C49" s="81">
        <v>770</v>
      </c>
      <c r="D49" s="81">
        <v>890</v>
      </c>
      <c r="E49" s="81">
        <v>962</v>
      </c>
      <c r="F49" s="10"/>
      <c r="G49" s="95">
        <v>196</v>
      </c>
      <c r="H49" s="95">
        <v>227</v>
      </c>
      <c r="I49" s="95">
        <v>227</v>
      </c>
      <c r="J49" s="32">
        <v>240</v>
      </c>
      <c r="K49" s="95">
        <v>226</v>
      </c>
      <c r="L49" s="95">
        <v>243</v>
      </c>
      <c r="M49" s="95">
        <v>236</v>
      </c>
      <c r="N49" s="32">
        <v>257</v>
      </c>
      <c r="O49" s="82">
        <v>228</v>
      </c>
      <c r="P49" s="82">
        <v>254</v>
      </c>
      <c r="Q49" s="81">
        <v>254</v>
      </c>
      <c r="R49" s="5"/>
      <c r="S49" s="32">
        <f t="shared" si="81"/>
        <v>890</v>
      </c>
      <c r="T49" s="32">
        <f t="shared" si="82"/>
        <v>920</v>
      </c>
      <c r="U49" s="32">
        <f t="shared" si="83"/>
        <v>936</v>
      </c>
      <c r="V49" s="32">
        <f t="shared" si="84"/>
        <v>945</v>
      </c>
      <c r="W49" s="32">
        <f t="shared" si="85"/>
        <v>962</v>
      </c>
      <c r="X49" s="32">
        <f t="shared" si="86"/>
        <v>964</v>
      </c>
      <c r="Y49" s="32">
        <f t="shared" si="87"/>
        <v>975</v>
      </c>
      <c r="Z49" s="32">
        <f t="shared" si="88"/>
        <v>993</v>
      </c>
    </row>
    <row r="50" spans="1:38">
      <c r="B50" s="9" t="s">
        <v>204</v>
      </c>
      <c r="C50" s="81">
        <v>4756</v>
      </c>
      <c r="D50" s="81">
        <v>5761</v>
      </c>
      <c r="E50" s="81">
        <v>6805</v>
      </c>
      <c r="F50" s="81"/>
      <c r="G50" s="95">
        <v>1313</v>
      </c>
      <c r="H50" s="95">
        <v>1424</v>
      </c>
      <c r="I50" s="95">
        <v>1472</v>
      </c>
      <c r="J50" s="32">
        <v>1552</v>
      </c>
      <c r="K50" s="95">
        <v>1569</v>
      </c>
      <c r="L50" s="95">
        <v>1648</v>
      </c>
      <c r="M50" s="95">
        <v>1725</v>
      </c>
      <c r="N50" s="32">
        <v>1863</v>
      </c>
      <c r="O50" s="82">
        <v>1827</v>
      </c>
      <c r="P50" s="82">
        <v>1981</v>
      </c>
      <c r="Q50" s="81">
        <v>2057</v>
      </c>
      <c r="R50" s="5"/>
      <c r="S50" s="32">
        <f t="shared" si="81"/>
        <v>5761</v>
      </c>
      <c r="T50" s="32">
        <f t="shared" si="82"/>
        <v>6017</v>
      </c>
      <c r="U50" s="32">
        <f t="shared" si="83"/>
        <v>6241</v>
      </c>
      <c r="V50" s="32">
        <f t="shared" si="84"/>
        <v>6494</v>
      </c>
      <c r="W50" s="32">
        <f t="shared" si="85"/>
        <v>6805</v>
      </c>
      <c r="X50" s="32">
        <f t="shared" si="86"/>
        <v>7063</v>
      </c>
      <c r="Y50" s="32">
        <f t="shared" si="87"/>
        <v>7396</v>
      </c>
      <c r="Z50" s="32">
        <f t="shared" si="88"/>
        <v>7728</v>
      </c>
    </row>
    <row r="51" spans="1:38">
      <c r="B51" s="13" t="s">
        <v>197</v>
      </c>
      <c r="C51" s="14">
        <f>SUM(C44:C50)</f>
        <v>14802</v>
      </c>
      <c r="D51" s="14">
        <f>SUM(D44:D50)</f>
        <v>16887</v>
      </c>
      <c r="E51" s="14">
        <f>SUM(E44:E50)</f>
        <v>18986</v>
      </c>
      <c r="F51" s="11"/>
      <c r="G51" s="14">
        <f>SUM(G44:G50)</f>
        <v>3900</v>
      </c>
      <c r="H51" s="14">
        <f>SUM(H44:H50)</f>
        <v>4295</v>
      </c>
      <c r="I51" s="14">
        <f>SUM(I44:I50)</f>
        <v>4249</v>
      </c>
      <c r="J51" s="14">
        <f>SUM(J44:J50)</f>
        <v>4443</v>
      </c>
      <c r="K51" s="14">
        <f>SUM(K44:K50)</f>
        <v>4453</v>
      </c>
      <c r="L51" s="14">
        <f>SUM(L44:L50)</f>
        <v>4734</v>
      </c>
      <c r="M51" s="14">
        <f>SUM(M44:M50)</f>
        <v>4747</v>
      </c>
      <c r="N51" s="14">
        <f>SUM(N44:N50)</f>
        <v>5052</v>
      </c>
      <c r="O51" s="14">
        <f>SUM(O44:O50)</f>
        <v>4895</v>
      </c>
      <c r="P51" s="14">
        <f>SUM(P44:P50)</f>
        <v>5369</v>
      </c>
      <c r="Q51" s="14">
        <f>SUM(Q44:Q50)</f>
        <v>5448</v>
      </c>
      <c r="R51" s="5"/>
      <c r="S51" s="14">
        <f>SUM(S44:S50)</f>
        <v>16887</v>
      </c>
      <c r="T51" s="14">
        <f>SUM(T44:T50)</f>
        <v>17440</v>
      </c>
      <c r="U51" s="14">
        <f>SUM(U44:U50)</f>
        <v>17879</v>
      </c>
      <c r="V51" s="14">
        <f>SUM(V44:V50)</f>
        <v>18377</v>
      </c>
      <c r="W51" s="14">
        <f>SUM(W44:W50)</f>
        <v>18986</v>
      </c>
      <c r="X51" s="14">
        <f>SUM(X44:X50)</f>
        <v>19428</v>
      </c>
      <c r="Y51" s="14">
        <f>SUM(Y44:Y50)</f>
        <v>20063</v>
      </c>
      <c r="Z51" s="14">
        <f>SUM(Z44:Z50)</f>
        <v>20764</v>
      </c>
    </row>
    <row r="52" spans="1:38">
      <c r="B52" s="18"/>
      <c r="C52" s="19"/>
      <c r="D52" s="19"/>
      <c r="E52" s="19"/>
      <c r="F52" s="20"/>
      <c r="G52" s="21"/>
      <c r="H52" s="21"/>
      <c r="I52" s="21"/>
      <c r="J52" s="22"/>
      <c r="K52" s="21"/>
      <c r="L52" s="21"/>
      <c r="M52" s="21"/>
      <c r="N52" s="21"/>
      <c r="O52" s="21"/>
      <c r="P52" s="21"/>
      <c r="Q52" s="21"/>
      <c r="R52" s="20"/>
      <c r="S52" s="20"/>
      <c r="T52" s="20"/>
      <c r="U52" s="20"/>
      <c r="V52" s="20"/>
      <c r="W52" s="20"/>
      <c r="X52" s="20"/>
      <c r="Y52" s="20"/>
      <c r="Z52" s="20"/>
    </row>
    <row r="53" spans="1:38">
      <c r="B53" s="152" t="str">
        <f>B44&amp;"(%)"</f>
        <v>Rhythm Management(%)</v>
      </c>
      <c r="C53" s="153">
        <f>SUM(C44/C$14)</f>
        <v>4.8541910063454971E-2</v>
      </c>
      <c r="D53" s="153">
        <f>SUM(D44/D$14)</f>
        <v>5.6221795606971006E-2</v>
      </c>
      <c r="E53" s="153">
        <f>SUM(E44/E$14)</f>
        <v>5.6972586412395707E-2</v>
      </c>
      <c r="F53" s="154"/>
      <c r="G53" s="153">
        <f>SUM(G44/G$14)</f>
        <v>5.4067918333846311E-2</v>
      </c>
      <c r="H53" s="153">
        <f>SUM(H44/H$14)</f>
        <v>5.8428542794147123E-2</v>
      </c>
      <c r="I53" s="153">
        <f>SUM(I44/I$14)</f>
        <v>5.5506260475204572E-2</v>
      </c>
      <c r="J53" s="153">
        <f>SUM(J44/J$14)</f>
        <v>5.6830387657455329E-2</v>
      </c>
      <c r="K53" s="153">
        <f>SUM(K44/K$14)</f>
        <v>5.6403050983540745E-2</v>
      </c>
      <c r="L53" s="153">
        <f>SUM(L44/L$14)</f>
        <v>5.8494748000385469E-2</v>
      </c>
      <c r="M53" s="153">
        <f>SUM(M44/M$14)</f>
        <v>5.6135401974612129E-2</v>
      </c>
      <c r="N53" s="153">
        <f>SUM(N44/N$14)</f>
        <v>5.6861673045379986E-2</v>
      </c>
      <c r="O53" s="153">
        <f>SUM(O44/O$14)</f>
        <v>5.6478084572311259E-2</v>
      </c>
      <c r="P53" s="153">
        <f>SUM(P44/P$14)</f>
        <v>6.0402082211452164E-2</v>
      </c>
      <c r="Q53" s="153">
        <f>SUM(Q44/Q$14)</f>
        <v>6.0339519746679567E-2</v>
      </c>
      <c r="R53" s="154"/>
      <c r="S53" s="155">
        <f t="shared" ref="S53" si="89">J53</f>
        <v>5.6830387657455329E-2</v>
      </c>
      <c r="T53" s="155">
        <f t="shared" ref="T53" si="90">K53</f>
        <v>5.6403050983540745E-2</v>
      </c>
      <c r="U53" s="155">
        <f t="shared" ref="U53" si="91">L53</f>
        <v>5.8494748000385469E-2</v>
      </c>
      <c r="V53" s="155">
        <f t="shared" ref="V53" si="92">M53</f>
        <v>5.6135401974612129E-2</v>
      </c>
      <c r="W53" s="155">
        <f t="shared" ref="W53" si="93">N53</f>
        <v>5.6861673045379986E-2</v>
      </c>
      <c r="X53" s="155">
        <f t="shared" ref="X53" si="94">O53</f>
        <v>5.6478084572311259E-2</v>
      </c>
      <c r="Y53" s="155">
        <f t="shared" ref="Y53" si="95">P53</f>
        <v>6.0402082211452164E-2</v>
      </c>
      <c r="Z53" s="156">
        <f t="shared" ref="Z53" si="96">Q53</f>
        <v>6.0339519746679567E-2</v>
      </c>
    </row>
    <row r="54" spans="1:38">
      <c r="B54" s="166" t="str">
        <f>B45&amp;"(%)"</f>
        <v>Electrophysiology(%)</v>
      </c>
      <c r="C54" s="167">
        <f>SUM(C45/C$14)</f>
        <v>4.4143586924151837E-2</v>
      </c>
      <c r="D54" s="167">
        <f>SUM(D45/D$14)</f>
        <v>5.4725871998803258E-2</v>
      </c>
      <c r="E54" s="167">
        <f>SUM(E45/E$14)</f>
        <v>5.8808104886769963E-2</v>
      </c>
      <c r="F54" s="168"/>
      <c r="G54" s="167">
        <f>SUM(G45/G$14)</f>
        <v>5.1810813583666772E-2</v>
      </c>
      <c r="H54" s="167">
        <f>SUM(H45/H$14)</f>
        <v>5.5421928242132691E-2</v>
      </c>
      <c r="I54" s="167">
        <f>SUM(I45/I$14)</f>
        <v>5.3633047421867294E-2</v>
      </c>
      <c r="J54" s="167">
        <f>SUM(J45/J$14)</f>
        <v>5.7904501513524068E-2</v>
      </c>
      <c r="K54" s="167">
        <f>SUM(K45/K$14)</f>
        <v>5.8912083500602168E-2</v>
      </c>
      <c r="L54" s="167">
        <f>SUM(L45/L$14)</f>
        <v>6.0422087308470658E-2</v>
      </c>
      <c r="M54" s="167">
        <f>SUM(M45/M$14)</f>
        <v>5.7357780912082747E-2</v>
      </c>
      <c r="N54" s="167">
        <f>SUM(N45/N$14)</f>
        <v>5.8593038090030983E-2</v>
      </c>
      <c r="O54" s="167">
        <f>SUM(O45/O$14)</f>
        <v>6.0726008882023556E-2</v>
      </c>
      <c r="P54" s="167">
        <f>SUM(P45/P$14)</f>
        <v>6.2825345539400473E-2</v>
      </c>
      <c r="Q54" s="167">
        <f>SUM(Q45/Q$14)</f>
        <v>6.2010730934998683E-2</v>
      </c>
      <c r="R54" s="168"/>
      <c r="S54" s="169">
        <f t="shared" ref="S54:S59" si="97">J54</f>
        <v>5.7904501513524068E-2</v>
      </c>
      <c r="T54" s="169">
        <f t="shared" ref="T54:T59" si="98">K54</f>
        <v>5.8912083500602168E-2</v>
      </c>
      <c r="U54" s="169">
        <f t="shared" ref="U54:U59" si="99">L54</f>
        <v>6.0422087308470658E-2</v>
      </c>
      <c r="V54" s="169">
        <f t="shared" ref="V54:V59" si="100">M54</f>
        <v>5.7357780912082747E-2</v>
      </c>
      <c r="W54" s="169">
        <f t="shared" ref="W54:W59" si="101">N54</f>
        <v>5.8593038090030983E-2</v>
      </c>
      <c r="X54" s="169">
        <f t="shared" ref="X54:X59" si="102">O54</f>
        <v>6.0726008882023556E-2</v>
      </c>
      <c r="Y54" s="169">
        <f t="shared" ref="Y54:Y59" si="103">P54</f>
        <v>6.2825345539400473E-2</v>
      </c>
      <c r="Z54" s="170">
        <f t="shared" ref="Z54:Z59" si="104">Q54</f>
        <v>6.2010730934998683E-2</v>
      </c>
    </row>
    <row r="55" spans="1:38">
      <c r="B55" s="166" t="str">
        <f>B46&amp;"(%)"</f>
        <v>Heart Failure(%)</v>
      </c>
      <c r="C55" s="167">
        <f>SUM(C46/C$14)</f>
        <v>2.3709710672805993E-2</v>
      </c>
      <c r="D55" s="167">
        <f>SUM(D46/D$14)</f>
        <v>2.8946121818045824E-2</v>
      </c>
      <c r="E55" s="167">
        <f>SUM(E46/E$14)</f>
        <v>3.0488676996424314E-2</v>
      </c>
      <c r="F55" s="168"/>
      <c r="G55" s="167">
        <f>SUM(G46/G$14)</f>
        <v>2.882938340002052E-2</v>
      </c>
      <c r="H55" s="167">
        <f>SUM(H46/H$14)</f>
        <v>2.956504309480858E-2</v>
      </c>
      <c r="I55" s="167">
        <f>SUM(I46/I$14)</f>
        <v>2.7999605639357193E-2</v>
      </c>
      <c r="J55" s="167">
        <f>SUM(J46/J$14)</f>
        <v>2.939166097060834E-2</v>
      </c>
      <c r="K55" s="167">
        <f>SUM(K46/K$14)</f>
        <v>3.0610196708149337E-2</v>
      </c>
      <c r="L55" s="167">
        <f>SUM(L46/L$14)</f>
        <v>3.0933795894767274E-2</v>
      </c>
      <c r="M55" s="167">
        <f>SUM(M46/M$14)</f>
        <v>3.0277385989656794E-2</v>
      </c>
      <c r="N55" s="167">
        <f>SUM(N46/N$14)</f>
        <v>3.0162201567340986E-2</v>
      </c>
      <c r="O55" s="167">
        <f>SUM(O46/O$14)</f>
        <v>3.2728325931647033E-2</v>
      </c>
      <c r="P55" s="167">
        <f>SUM(P46/P$14)</f>
        <v>3.30281816549991E-2</v>
      </c>
      <c r="Q55" s="167">
        <f>SUM(Q46/Q$14)</f>
        <v>3.2192804996041866E-2</v>
      </c>
      <c r="R55" s="168"/>
      <c r="S55" s="169">
        <f t="shared" si="97"/>
        <v>2.939166097060834E-2</v>
      </c>
      <c r="T55" s="169">
        <f t="shared" si="98"/>
        <v>3.0610196708149337E-2</v>
      </c>
      <c r="U55" s="169">
        <f t="shared" si="99"/>
        <v>3.0933795894767274E-2</v>
      </c>
      <c r="V55" s="169">
        <f t="shared" si="100"/>
        <v>3.0277385989656794E-2</v>
      </c>
      <c r="W55" s="169">
        <f t="shared" si="101"/>
        <v>3.0162201567340986E-2</v>
      </c>
      <c r="X55" s="169">
        <f t="shared" si="102"/>
        <v>3.2728325931647033E-2</v>
      </c>
      <c r="Y55" s="169">
        <f t="shared" si="103"/>
        <v>3.30281816549991E-2</v>
      </c>
      <c r="Z55" s="170">
        <f t="shared" si="104"/>
        <v>3.2192804996041866E-2</v>
      </c>
    </row>
    <row r="56" spans="1:38">
      <c r="B56" s="166" t="str">
        <f>B47&amp;"(%)"</f>
        <v>Vascular(%)</v>
      </c>
      <c r="C56" s="167">
        <f>SUM(C47/C$14)</f>
        <v>5.6880397681717182E-2</v>
      </c>
      <c r="D56" s="167">
        <f>SUM(D47/D$14)</f>
        <v>6.6842853224961973E-2</v>
      </c>
      <c r="E56" s="167">
        <f>SUM(E47/E$14)</f>
        <v>6.7628128724672235E-2</v>
      </c>
      <c r="F56" s="168"/>
      <c r="G56" s="167">
        <f>SUM(G47/G$14)</f>
        <v>6.3301528675489896E-2</v>
      </c>
      <c r="H56" s="167">
        <f>SUM(H47/H$14)</f>
        <v>7.1657646823010623E-2</v>
      </c>
      <c r="I56" s="167">
        <f>SUM(I47/I$14)</f>
        <v>6.6252587991718431E-2</v>
      </c>
      <c r="J56" s="167">
        <f>SUM(J47/J$14)</f>
        <v>6.6106825505321751E-2</v>
      </c>
      <c r="K56" s="167">
        <f>SUM(K47/K$14)</f>
        <v>6.9148936170212769E-2</v>
      </c>
      <c r="L56" s="167">
        <f>SUM(L47/L$14)</f>
        <v>6.976968295268382E-2</v>
      </c>
      <c r="M56" s="167">
        <f>SUM(M47/M$14)</f>
        <v>6.5726375176304655E-2</v>
      </c>
      <c r="N56" s="167">
        <f>SUM(N47/N$14)</f>
        <v>6.6065245124840535E-2</v>
      </c>
      <c r="O56" s="167">
        <f>SUM(O47/O$14)</f>
        <v>6.8546051361266652E-2</v>
      </c>
      <c r="P56" s="167">
        <f>SUM(P47/P$14)</f>
        <v>6.7941123676180215E-2</v>
      </c>
      <c r="Q56" s="167">
        <f>SUM(Q47/Q$14)</f>
        <v>6.55290702788284E-2</v>
      </c>
      <c r="R56" s="168"/>
      <c r="S56" s="169">
        <f t="shared" si="97"/>
        <v>6.6106825505321751E-2</v>
      </c>
      <c r="T56" s="169">
        <f t="shared" si="98"/>
        <v>6.9148936170212769E-2</v>
      </c>
      <c r="U56" s="169">
        <f t="shared" si="99"/>
        <v>6.976968295268382E-2</v>
      </c>
      <c r="V56" s="169">
        <f t="shared" si="100"/>
        <v>6.5726375176304655E-2</v>
      </c>
      <c r="W56" s="169">
        <f t="shared" si="101"/>
        <v>6.6065245124840535E-2</v>
      </c>
      <c r="X56" s="169">
        <f t="shared" si="102"/>
        <v>6.8546051361266652E-2</v>
      </c>
      <c r="Y56" s="169">
        <f t="shared" si="103"/>
        <v>6.7941123676180215E-2</v>
      </c>
      <c r="Z56" s="170">
        <f t="shared" si="104"/>
        <v>6.55290702788284E-2</v>
      </c>
    </row>
    <row r="57" spans="1:38">
      <c r="B57" s="166" t="str">
        <f>B48&amp;"(%)"</f>
        <v>Structural Heart(%)</v>
      </c>
      <c r="C57" s="167">
        <f>SUM(C48/C$14)</f>
        <v>3.9218381325453001E-2</v>
      </c>
      <c r="D57" s="167">
        <f>SUM(D48/D$14)</f>
        <v>4.846792490463487E-2</v>
      </c>
      <c r="E57" s="167">
        <f>SUM(E48/E$14)</f>
        <v>5.3539928486293208E-2</v>
      </c>
      <c r="F57" s="168"/>
      <c r="G57" s="167">
        <f>SUM(G48/G$14)</f>
        <v>4.7296604083307686E-2</v>
      </c>
      <c r="H57" s="167">
        <f>SUM(H48/H$14)</f>
        <v>4.9909801563439569E-2</v>
      </c>
      <c r="I57" s="167">
        <f>SUM(I48/I$14)</f>
        <v>4.8013408261855468E-2</v>
      </c>
      <c r="J57" s="167">
        <f>SUM(J48/J$14)</f>
        <v>4.8628063665657653E-2</v>
      </c>
      <c r="K57" s="167">
        <f>SUM(K48/K$14)</f>
        <v>5.1686069851465274E-2</v>
      </c>
      <c r="L57" s="167">
        <f>SUM(L48/L$14)</f>
        <v>5.4350968488002312E-2</v>
      </c>
      <c r="M57" s="167">
        <f>SUM(M48/M$14)</f>
        <v>5.2468265162200281E-2</v>
      </c>
      <c r="N57" s="167">
        <f>SUM(N48/N$14)</f>
        <v>5.5494805904866044E-2</v>
      </c>
      <c r="O57" s="167">
        <f>SUM(O48/O$14)</f>
        <v>5.5705734697818109E-2</v>
      </c>
      <c r="P57" s="167">
        <f>SUM(P48/P$14)</f>
        <v>5.7081313947226708E-2</v>
      </c>
      <c r="Q57" s="167">
        <f>SUM(Q48/Q$14)</f>
        <v>5.5853637083296687E-2</v>
      </c>
      <c r="R57" s="168"/>
      <c r="S57" s="169">
        <f t="shared" si="97"/>
        <v>4.8628063665657653E-2</v>
      </c>
      <c r="T57" s="169">
        <f t="shared" si="98"/>
        <v>5.1686069851465274E-2</v>
      </c>
      <c r="U57" s="169">
        <f t="shared" si="99"/>
        <v>5.4350968488002312E-2</v>
      </c>
      <c r="V57" s="169">
        <f t="shared" si="100"/>
        <v>5.2468265162200281E-2</v>
      </c>
      <c r="W57" s="169">
        <f t="shared" si="101"/>
        <v>5.5494805904866044E-2</v>
      </c>
      <c r="X57" s="169">
        <f t="shared" si="102"/>
        <v>5.5705734697818109E-2</v>
      </c>
      <c r="Y57" s="169">
        <f t="shared" si="103"/>
        <v>5.7081313947226708E-2</v>
      </c>
      <c r="Z57" s="170">
        <f t="shared" si="104"/>
        <v>5.5853637083296687E-2</v>
      </c>
    </row>
    <row r="58" spans="1:38">
      <c r="B58" s="166" t="str">
        <f>B49&amp;"(%)"</f>
        <v>Neuromodulation(%)</v>
      </c>
      <c r="C58" s="167">
        <f>SUM(C49/C$14)</f>
        <v>1.7639108423246969E-2</v>
      </c>
      <c r="D58" s="167">
        <f>SUM(D49/D$14)</f>
        <v>2.2189533521154853E-2</v>
      </c>
      <c r="E58" s="167">
        <f>SUM(E49/E$14)</f>
        <v>2.2932061978545887E-2</v>
      </c>
      <c r="F58" s="168"/>
      <c r="G58" s="167">
        <f>SUM(G49/G$14)</f>
        <v>2.0108751410690469E-2</v>
      </c>
      <c r="H58" s="167">
        <f>SUM(H49/H$14)</f>
        <v>2.2750050110242535E-2</v>
      </c>
      <c r="I58" s="167">
        <f>SUM(I49/I$14)</f>
        <v>2.237996647934536E-2</v>
      </c>
      <c r="J58" s="167">
        <f>SUM(J49/J$14)</f>
        <v>2.3435211405136217E-2</v>
      </c>
      <c r="K58" s="167">
        <f>SUM(K49/K$14)</f>
        <v>2.2681653954235246E-2</v>
      </c>
      <c r="L58" s="167">
        <f>SUM(L49/L$14)</f>
        <v>2.3417172593235037E-2</v>
      </c>
      <c r="M58" s="167">
        <f>SUM(M49/M$14)</f>
        <v>2.219087917254349E-2</v>
      </c>
      <c r="N58" s="167">
        <f>SUM(N49/N$14)</f>
        <v>2.3418990340805541E-2</v>
      </c>
      <c r="O58" s="167">
        <f>SUM(O49/O$14)</f>
        <v>2.2011971423054645E-2</v>
      </c>
      <c r="P58" s="167">
        <f>SUM(P49/P$14)</f>
        <v>2.27966253814396E-2</v>
      </c>
      <c r="Q58" s="167">
        <f>SUM(Q49/Q$14)</f>
        <v>2.2341454833318675E-2</v>
      </c>
      <c r="R58" s="168"/>
      <c r="S58" s="169">
        <f t="shared" si="97"/>
        <v>2.3435211405136217E-2</v>
      </c>
      <c r="T58" s="169">
        <f t="shared" si="98"/>
        <v>2.2681653954235246E-2</v>
      </c>
      <c r="U58" s="169">
        <f t="shared" si="99"/>
        <v>2.3417172593235037E-2</v>
      </c>
      <c r="V58" s="169">
        <f t="shared" si="100"/>
        <v>2.219087917254349E-2</v>
      </c>
      <c r="W58" s="169">
        <f t="shared" si="101"/>
        <v>2.3418990340805541E-2</v>
      </c>
      <c r="X58" s="169">
        <f t="shared" si="102"/>
        <v>2.2011971423054645E-2</v>
      </c>
      <c r="Y58" s="169">
        <f t="shared" si="103"/>
        <v>2.27966253814396E-2</v>
      </c>
      <c r="Z58" s="170">
        <f t="shared" si="104"/>
        <v>2.2341454833318675E-2</v>
      </c>
    </row>
    <row r="59" spans="1:38" ht="12.75" customHeight="1">
      <c r="B59" s="157" t="str">
        <f>B50&amp;"(%)"</f>
        <v>Diabetes Care(%)</v>
      </c>
      <c r="C59" s="158">
        <f>SUM(C50/C$14)</f>
        <v>0.10895012942982155</v>
      </c>
      <c r="D59" s="158">
        <f>SUM(D50/D$14)</f>
        <v>0.14363359844423945</v>
      </c>
      <c r="E59" s="158">
        <f>SUM(E50/E$14)</f>
        <v>0.16221692491060788</v>
      </c>
      <c r="F59" s="159"/>
      <c r="G59" s="158">
        <f>SUM(G50/G$14)</f>
        <v>0.1347081153175336</v>
      </c>
      <c r="H59" s="158">
        <f>SUM(H50/H$14)</f>
        <v>0.14271397073561837</v>
      </c>
      <c r="I59" s="158">
        <f>SUM(I50/I$14)</f>
        <v>0.14512471655328799</v>
      </c>
      <c r="J59" s="158">
        <f>SUM(J50/J$14)</f>
        <v>0.15154770041988086</v>
      </c>
      <c r="K59" s="158">
        <f>SUM(K50/K$14)</f>
        <v>0.15746688077077478</v>
      </c>
      <c r="L59" s="158">
        <f>SUM(L50/L$14)</f>
        <v>0.15881275898621952</v>
      </c>
      <c r="M59" s="158">
        <f>SUM(M50/M$14)</f>
        <v>0.16220028208744711</v>
      </c>
      <c r="N59" s="158">
        <f>SUM(N50/N$14)</f>
        <v>0.1697648988518316</v>
      </c>
      <c r="O59" s="158">
        <f>SUM(O50/O$14)</f>
        <v>0.17638540258737209</v>
      </c>
      <c r="P59" s="158">
        <f>SUM(P50/P$14)</f>
        <v>0.17779572787650333</v>
      </c>
      <c r="Q59" s="158">
        <f>SUM(Q50/Q$14)</f>
        <v>0.18093060075644296</v>
      </c>
      <c r="R59" s="159"/>
      <c r="S59" s="160">
        <f t="shared" si="97"/>
        <v>0.15154770041988086</v>
      </c>
      <c r="T59" s="160">
        <f t="shared" si="98"/>
        <v>0.15746688077077478</v>
      </c>
      <c r="U59" s="160">
        <f t="shared" si="99"/>
        <v>0.15881275898621952</v>
      </c>
      <c r="V59" s="160">
        <f t="shared" si="100"/>
        <v>0.16220028208744711</v>
      </c>
      <c r="W59" s="160">
        <f t="shared" si="101"/>
        <v>0.1697648988518316</v>
      </c>
      <c r="X59" s="160">
        <f t="shared" si="102"/>
        <v>0.17638540258737209</v>
      </c>
      <c r="Y59" s="160">
        <f t="shared" si="103"/>
        <v>0.17779572787650333</v>
      </c>
      <c r="Z59" s="161">
        <f t="shared" si="104"/>
        <v>0.18093060075644296</v>
      </c>
    </row>
    <row r="61" spans="1:38">
      <c r="A61" s="36" t="s">
        <v>16</v>
      </c>
      <c r="B61" s="1" t="s">
        <v>158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3" spans="1:38" ht="12.75" customHeight="1">
      <c r="A63" s="80" t="s">
        <v>16</v>
      </c>
      <c r="B63" s="78" t="s">
        <v>186</v>
      </c>
      <c r="C63" s="10"/>
      <c r="D63" s="10"/>
      <c r="E63" s="10"/>
      <c r="F63" s="10"/>
      <c r="G63" s="95"/>
      <c r="H63" s="95"/>
      <c r="I63" s="95"/>
      <c r="J63" s="32"/>
      <c r="K63" s="95"/>
      <c r="L63" s="95"/>
      <c r="M63" s="95"/>
      <c r="N63" s="32"/>
      <c r="O63" s="95"/>
      <c r="P63" s="95"/>
      <c r="Q63" s="95"/>
      <c r="R63" s="5"/>
      <c r="S63" s="11"/>
      <c r="T63" s="11"/>
      <c r="U63" s="11"/>
      <c r="V63" s="11"/>
      <c r="W63" s="11"/>
      <c r="X63" s="11"/>
      <c r="Y63" s="11"/>
      <c r="Z63" s="11"/>
    </row>
    <row r="64" spans="1:38" ht="12.75" customHeight="1">
      <c r="A64" s="80"/>
      <c r="B64" s="9" t="s">
        <v>173</v>
      </c>
      <c r="C64" s="81">
        <v>17625</v>
      </c>
      <c r="D64" s="81">
        <v>15338</v>
      </c>
      <c r="E64" s="81">
        <v>16167</v>
      </c>
      <c r="F64" s="10"/>
      <c r="G64" s="95">
        <v>3928</v>
      </c>
      <c r="H64" s="95">
        <v>3758</v>
      </c>
      <c r="I64" s="95">
        <v>3817</v>
      </c>
      <c r="J64" s="32">
        <v>3835</v>
      </c>
      <c r="K64" s="95">
        <v>3846</v>
      </c>
      <c r="L64" s="95">
        <v>3944</v>
      </c>
      <c r="M64" s="95">
        <v>4202</v>
      </c>
      <c r="N64" s="32">
        <v>4175</v>
      </c>
      <c r="O64" s="82">
        <v>4168</v>
      </c>
      <c r="P64" s="82">
        <v>4276</v>
      </c>
      <c r="Q64" s="81">
        <v>4299</v>
      </c>
      <c r="R64" s="5"/>
      <c r="S64" s="32">
        <f t="shared" ref="S64:S65" si="105">SUM(G64:J64)</f>
        <v>15338</v>
      </c>
      <c r="T64" s="32">
        <f t="shared" ref="T64:T65" si="106">SUM(H64:K64)</f>
        <v>15256</v>
      </c>
      <c r="U64" s="32">
        <f t="shared" ref="U64:U65" si="107">SUM(I64:L64)</f>
        <v>15442</v>
      </c>
      <c r="V64" s="32">
        <f t="shared" ref="V64:V65" si="108">SUM(J64:M64)</f>
        <v>15827</v>
      </c>
      <c r="W64" s="32">
        <f t="shared" ref="W64:W65" si="109">SUM(K64:N64)</f>
        <v>16167</v>
      </c>
      <c r="X64" s="32">
        <f t="shared" ref="X64:X65" si="110">SUM(L64:O64)</f>
        <v>16489</v>
      </c>
      <c r="Y64" s="32">
        <f t="shared" ref="Y64:Y65" si="111">SUM(M64:P64)</f>
        <v>16821</v>
      </c>
      <c r="Z64" s="32">
        <f>SUM(N64:Q64)</f>
        <v>16918</v>
      </c>
    </row>
    <row r="65" spans="2:26">
      <c r="B65" s="9" t="s">
        <v>205</v>
      </c>
      <c r="C65" s="81">
        <v>25728</v>
      </c>
      <c r="D65" s="81">
        <v>24771</v>
      </c>
      <c r="E65" s="81">
        <v>25783</v>
      </c>
      <c r="F65" s="81"/>
      <c r="G65" s="95">
        <v>5819</v>
      </c>
      <c r="H65" s="95">
        <v>6220</v>
      </c>
      <c r="I65" s="95">
        <v>6326</v>
      </c>
      <c r="J65" s="32">
        <v>6406</v>
      </c>
      <c r="K65" s="95">
        <v>6118</v>
      </c>
      <c r="L65" s="95">
        <v>6433</v>
      </c>
      <c r="M65" s="95">
        <v>6433</v>
      </c>
      <c r="N65" s="32">
        <v>6799</v>
      </c>
      <c r="O65" s="82">
        <v>6190</v>
      </c>
      <c r="P65" s="82">
        <v>6866</v>
      </c>
      <c r="Q65" s="81">
        <v>7070</v>
      </c>
      <c r="R65" s="5"/>
      <c r="S65" s="32">
        <f t="shared" si="105"/>
        <v>24771</v>
      </c>
      <c r="T65" s="32">
        <f t="shared" si="106"/>
        <v>25070</v>
      </c>
      <c r="U65" s="32">
        <f t="shared" si="107"/>
        <v>25283</v>
      </c>
      <c r="V65" s="32">
        <f t="shared" si="108"/>
        <v>25390</v>
      </c>
      <c r="W65" s="32">
        <f t="shared" si="109"/>
        <v>25783</v>
      </c>
      <c r="X65" s="32">
        <f t="shared" si="110"/>
        <v>25855</v>
      </c>
      <c r="Y65" s="32">
        <f t="shared" si="111"/>
        <v>26288</v>
      </c>
      <c r="Z65" s="32">
        <f>SUM(N65:Q65)</f>
        <v>26925</v>
      </c>
    </row>
    <row r="66" spans="2:26">
      <c r="B66" s="13" t="s">
        <v>206</v>
      </c>
      <c r="C66" s="14">
        <f>SUM(C64:C65)</f>
        <v>43353</v>
      </c>
      <c r="D66" s="14">
        <f>SUM(D64:D65)</f>
        <v>40109</v>
      </c>
      <c r="E66" s="14">
        <f>SUM(E64:E65)</f>
        <v>41950</v>
      </c>
      <c r="F66" s="11"/>
      <c r="G66" s="14">
        <f>SUM(G64:G65)</f>
        <v>9747</v>
      </c>
      <c r="H66" s="14">
        <f>SUM(H64:H65)</f>
        <v>9978</v>
      </c>
      <c r="I66" s="14">
        <f>SUM(I64:I65)</f>
        <v>10143</v>
      </c>
      <c r="J66" s="14">
        <f>SUM(J64:J65)</f>
        <v>10241</v>
      </c>
      <c r="K66" s="14">
        <f>SUM(K64:K65)</f>
        <v>9964</v>
      </c>
      <c r="L66" s="14">
        <f>SUM(L64:L65)</f>
        <v>10377</v>
      </c>
      <c r="M66" s="14">
        <f>SUM(M64:M65)</f>
        <v>10635</v>
      </c>
      <c r="N66" s="14">
        <f>SUM(N64:N65)</f>
        <v>10974</v>
      </c>
      <c r="O66" s="14">
        <f>SUM(O64:O65)</f>
        <v>10358</v>
      </c>
      <c r="P66" s="14">
        <f>SUM(P64:P65)</f>
        <v>11142</v>
      </c>
      <c r="Q66" s="14">
        <f>SUM(Q64:Q65)</f>
        <v>11369</v>
      </c>
      <c r="R66" s="5"/>
      <c r="S66" s="14">
        <f>SUM(S64:S65)</f>
        <v>40109</v>
      </c>
      <c r="T66" s="14">
        <f>SUM(T64:T65)</f>
        <v>40326</v>
      </c>
      <c r="U66" s="14">
        <f>SUM(U64:U65)</f>
        <v>40725</v>
      </c>
      <c r="V66" s="14">
        <f>SUM(V64:V65)</f>
        <v>41217</v>
      </c>
      <c r="W66" s="14">
        <f>SUM(W64:W65)</f>
        <v>41950</v>
      </c>
      <c r="X66" s="14">
        <f>SUM(X64:X65)</f>
        <v>42344</v>
      </c>
      <c r="Y66" s="14">
        <f>SUM(Y64:Y65)</f>
        <v>43109</v>
      </c>
      <c r="Z66" s="14">
        <f>SUM(Z64:Z65)</f>
        <v>43843</v>
      </c>
    </row>
    <row r="67" spans="2:26">
      <c r="B67" s="18"/>
      <c r="C67" s="19"/>
      <c r="D67" s="19"/>
      <c r="E67" s="19"/>
      <c r="F67" s="20"/>
      <c r="G67" s="21"/>
      <c r="H67" s="21"/>
      <c r="I67" s="21"/>
      <c r="J67" s="22"/>
      <c r="K67" s="21"/>
      <c r="L67" s="21"/>
      <c r="M67" s="21"/>
      <c r="N67" s="21"/>
      <c r="O67" s="21"/>
      <c r="P67" s="21"/>
      <c r="Q67" s="21"/>
      <c r="R67" s="20"/>
      <c r="S67" s="20"/>
      <c r="T67" s="20"/>
      <c r="U67" s="20"/>
      <c r="V67" s="20"/>
      <c r="W67" s="20"/>
      <c r="X67" s="20"/>
      <c r="Y67" s="20"/>
      <c r="Z67" s="20"/>
    </row>
    <row r="68" spans="2:26">
      <c r="B68" s="152" t="str">
        <f>B64&amp;"(%)"</f>
        <v>U.S. Revenues(%)</v>
      </c>
      <c r="C68" s="153">
        <f>SUM(C64/C$14)</f>
        <v>0.40375231942821799</v>
      </c>
      <c r="D68" s="153">
        <f>SUM(D64/D$14)</f>
        <v>0.38240793836794734</v>
      </c>
      <c r="E68" s="153">
        <f>SUM(E64/E$14)</f>
        <v>0.38538736591179978</v>
      </c>
      <c r="F68" s="154"/>
      <c r="G68" s="153">
        <f>SUM(G64/G$14)</f>
        <v>0.40299579357751103</v>
      </c>
      <c r="H68" s="153">
        <f>SUM(H64/H$14)</f>
        <v>0.37662858288234113</v>
      </c>
      <c r="I68" s="153">
        <f>SUM(I64/I$14)</f>
        <v>0.37631864339938875</v>
      </c>
      <c r="J68" s="153">
        <f>SUM(J64/J$14)</f>
        <v>0.37447514891123912</v>
      </c>
      <c r="K68" s="153">
        <f>SUM(K64/K$14)</f>
        <v>0.38598956242472904</v>
      </c>
      <c r="L68" s="153">
        <f>SUM(L64/L$14)</f>
        <v>0.38007131155439916</v>
      </c>
      <c r="M68" s="153">
        <f>SUM(M64/M$14)</f>
        <v>0.39511048425011752</v>
      </c>
      <c r="N68" s="153">
        <f>SUM(N64/N$14)</f>
        <v>0.38044468744304721</v>
      </c>
      <c r="O68" s="153">
        <f>SUM(O64/O$14)</f>
        <v>0.40239428461092874</v>
      </c>
      <c r="P68" s="153">
        <f>SUM(P64/P$14)</f>
        <v>0.38377311075210913</v>
      </c>
      <c r="Q68" s="153">
        <f>SUM(Q64/Q$14)</f>
        <v>0.37813352097809833</v>
      </c>
      <c r="R68" s="154"/>
      <c r="S68" s="155">
        <f t="shared" ref="S68:S69" si="112">J68</f>
        <v>0.37447514891123912</v>
      </c>
      <c r="T68" s="155">
        <f t="shared" ref="T68:T69" si="113">K68</f>
        <v>0.38598956242472904</v>
      </c>
      <c r="U68" s="155">
        <f t="shared" ref="U68:U69" si="114">L68</f>
        <v>0.38007131155439916</v>
      </c>
      <c r="V68" s="155">
        <f t="shared" ref="V68:V69" si="115">M68</f>
        <v>0.39511048425011752</v>
      </c>
      <c r="W68" s="155">
        <f t="shared" ref="W68:W69" si="116">N68</f>
        <v>0.38044468744304721</v>
      </c>
      <c r="X68" s="155">
        <f t="shared" ref="X68:X69" si="117">O68</f>
        <v>0.40239428461092874</v>
      </c>
      <c r="Y68" s="155">
        <f t="shared" ref="Y68:Y69" si="118">P68</f>
        <v>0.38377311075210913</v>
      </c>
      <c r="Z68" s="156">
        <f t="shared" ref="Z68:Z69" si="119">Q68</f>
        <v>0.37813352097809833</v>
      </c>
    </row>
    <row r="69" spans="2:26" ht="12.75" customHeight="1">
      <c r="B69" s="157" t="str">
        <f>B65&amp;"(%)"</f>
        <v>Internation Revenues(%)</v>
      </c>
      <c r="C69" s="158">
        <f>SUM(C65/C$14)</f>
        <v>0.5893753006666208</v>
      </c>
      <c r="D69" s="158">
        <f>SUM(D65/D$14)</f>
        <v>0.6175920616320526</v>
      </c>
      <c r="E69" s="158">
        <f>SUM(E65/E$14)</f>
        <v>0.61461263408820022</v>
      </c>
      <c r="F69" s="159"/>
      <c r="G69" s="158">
        <f>SUM(G65/G$14)</f>
        <v>0.59700420642248897</v>
      </c>
      <c r="H69" s="158">
        <f>SUM(H65/H$14)</f>
        <v>0.62337141711765887</v>
      </c>
      <c r="I69" s="158">
        <f>SUM(I65/I$14)</f>
        <v>0.6236813566006113</v>
      </c>
      <c r="J69" s="158">
        <f>SUM(J65/J$14)</f>
        <v>0.62552485108876088</v>
      </c>
      <c r="K69" s="158">
        <f>SUM(K65/K$14)</f>
        <v>0.61401043757527096</v>
      </c>
      <c r="L69" s="158">
        <f>SUM(L65/L$14)</f>
        <v>0.6199286884456009</v>
      </c>
      <c r="M69" s="158">
        <f>SUM(M65/M$14)</f>
        <v>0.60488951574988248</v>
      </c>
      <c r="N69" s="158">
        <f>SUM(N65/N$14)</f>
        <v>0.61955531255695284</v>
      </c>
      <c r="O69" s="158">
        <f>SUM(O65/O$14)</f>
        <v>0.59760571538907126</v>
      </c>
      <c r="P69" s="158">
        <f>SUM(P65/P$14)</f>
        <v>0.61622688924789082</v>
      </c>
      <c r="Q69" s="158">
        <f>SUM(Q65/Q$14)</f>
        <v>0.62186647902190162</v>
      </c>
      <c r="R69" s="159"/>
      <c r="S69" s="160">
        <f t="shared" si="112"/>
        <v>0.62552485108876088</v>
      </c>
      <c r="T69" s="160">
        <f t="shared" si="113"/>
        <v>0.61401043757527096</v>
      </c>
      <c r="U69" s="160">
        <f t="shared" si="114"/>
        <v>0.6199286884456009</v>
      </c>
      <c r="V69" s="160">
        <f t="shared" si="115"/>
        <v>0.60488951574988248</v>
      </c>
      <c r="W69" s="160">
        <f t="shared" si="116"/>
        <v>0.61955531255695284</v>
      </c>
      <c r="X69" s="160">
        <f t="shared" si="117"/>
        <v>0.59760571538907126</v>
      </c>
      <c r="Y69" s="160">
        <f t="shared" si="118"/>
        <v>0.61622688924789082</v>
      </c>
      <c r="Z69" s="161">
        <f t="shared" si="119"/>
        <v>0.62186647902190162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Abbott Laboratories Inc (NYSE: ABT)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 t="e">
        <f>'Historical Financials'!#REF!</f>
        <v>#REF!</v>
      </c>
      <c r="D3" s="7">
        <f>'Historical Financials'!C7</f>
        <v>2022</v>
      </c>
      <c r="E3" s="7">
        <f>'Historical Financials'!D7</f>
        <v>2023</v>
      </c>
      <c r="F3" s="7">
        <f>'Historical Financials'!E7</f>
        <v>2024</v>
      </c>
      <c r="G3" s="3"/>
      <c r="H3" s="7" t="str">
        <f>'Historical Financials'!G7</f>
        <v>1Q23</v>
      </c>
      <c r="I3" s="7" t="str">
        <f>'Historical Financials'!H7</f>
        <v>2Q23</v>
      </c>
      <c r="J3" s="7" t="str">
        <f>'Historical Financials'!I7</f>
        <v>3Q23</v>
      </c>
      <c r="K3" s="7" t="str">
        <f>'Historical Financials'!J7</f>
        <v>4Q23</v>
      </c>
      <c r="L3" s="7" t="str">
        <f>'Historical Financials'!K7</f>
        <v>1Q24</v>
      </c>
      <c r="M3" s="7" t="str">
        <f>'Historical Financials'!L7</f>
        <v>2Q24</v>
      </c>
      <c r="N3" s="7" t="str">
        <f>'Historical Financials'!M7</f>
        <v>3Q24</v>
      </c>
      <c r="O3" s="7" t="str">
        <f>'Historical Financials'!N7</f>
        <v>4Q24</v>
      </c>
      <c r="P3" s="7" t="str">
        <f>'Historical Financials'!O7</f>
        <v>1Q25</v>
      </c>
      <c r="Q3" s="7" t="str">
        <f>'Historical Financials'!P7</f>
        <v>2Q25</v>
      </c>
      <c r="R3" s="7" t="str">
        <f>'Historical Financials'!Q7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 t="e">
        <f>'Historical Financials'!#REF!</f>
        <v>#REF!</v>
      </c>
      <c r="D4" s="3">
        <f>'Historical Financials'!C8</f>
        <v>0</v>
      </c>
      <c r="E4" s="3">
        <f>'Historical Financials'!D8</f>
        <v>0</v>
      </c>
      <c r="F4" s="3">
        <f>'Historical Financials'!E8</f>
        <v>0</v>
      </c>
      <c r="G4" s="3"/>
      <c r="H4" s="3">
        <f>'Historical Financials'!G8</f>
        <v>0</v>
      </c>
      <c r="I4" s="3">
        <f>'Historical Financials'!H8</f>
        <v>0</v>
      </c>
      <c r="J4" s="3">
        <f>'Historical Financials'!I8</f>
        <v>0</v>
      </c>
      <c r="K4" s="3">
        <f>'Historical Financials'!J8</f>
        <v>0</v>
      </c>
      <c r="L4" s="3">
        <f>'Historical Financials'!K8</f>
        <v>0</v>
      </c>
      <c r="M4" s="3">
        <f>'Historical Financials'!L8</f>
        <v>0</v>
      </c>
      <c r="N4" s="3">
        <f>'Historical Financials'!M8</f>
        <v>0</v>
      </c>
      <c r="O4" s="3">
        <f>'Historical Financials'!N8</f>
        <v>0</v>
      </c>
      <c r="P4" s="3">
        <f>'Historical Financials'!O8</f>
        <v>0</v>
      </c>
      <c r="Q4" s="3">
        <f>'Historical Financials'!P8</f>
        <v>0</v>
      </c>
      <c r="R4" s="3">
        <f>'Historical Financials'!Q8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Established Pharma Product Revenues</v>
      </c>
      <c r="C6" s="94">
        <f>'Revenue Drivers'!C9</f>
        <v>4912</v>
      </c>
      <c r="D6" s="94">
        <f>'Revenue Drivers'!D9</f>
        <v>5066</v>
      </c>
      <c r="E6" s="94">
        <f>'Revenue Drivers'!E9</f>
        <v>5194</v>
      </c>
      <c r="F6" s="94" t="e">
        <f>'Revenue Drivers'!#REF!</f>
        <v>#REF!</v>
      </c>
      <c r="G6" s="10"/>
      <c r="H6" s="94">
        <f>'Revenue Drivers'!G9</f>
        <v>1189</v>
      </c>
      <c r="I6" s="94">
        <f>'Revenue Drivers'!H9</f>
        <v>1287</v>
      </c>
      <c r="J6" s="94">
        <f>'Revenue Drivers'!I9</f>
        <v>1368</v>
      </c>
      <c r="K6" s="94">
        <f>'Revenue Drivers'!J9</f>
        <v>1222</v>
      </c>
      <c r="L6" s="94">
        <f>'Revenue Drivers'!K9</f>
        <v>1226</v>
      </c>
      <c r="M6" s="94">
        <f>'Revenue Drivers'!L9</f>
        <v>1294</v>
      </c>
      <c r="N6" s="94">
        <f>'Revenue Drivers'!M9</f>
        <v>1406</v>
      </c>
      <c r="O6" s="94">
        <f>'Revenue Drivers'!N9</f>
        <v>1268</v>
      </c>
      <c r="P6" s="94">
        <f>'Revenue Drivers'!O9</f>
        <v>1260</v>
      </c>
      <c r="Q6" s="94">
        <f>'Revenue Drivers'!P9</f>
        <v>1383</v>
      </c>
      <c r="R6" s="94">
        <f>'Revenue Drivers'!Q9</f>
        <v>1511</v>
      </c>
      <c r="S6" s="5"/>
      <c r="T6" s="142">
        <f t="shared" ref="T6:Z9" si="1">SUM(H6:K6)</f>
        <v>5066</v>
      </c>
      <c r="U6" s="142">
        <f t="shared" si="1"/>
        <v>5103</v>
      </c>
      <c r="V6" s="142">
        <f t="shared" si="1"/>
        <v>5110</v>
      </c>
      <c r="W6" s="142">
        <f t="shared" si="1"/>
        <v>5148</v>
      </c>
      <c r="X6" s="142">
        <f t="shared" si="1"/>
        <v>5194</v>
      </c>
      <c r="Y6" s="142">
        <f t="shared" si="1"/>
        <v>5228</v>
      </c>
      <c r="Z6" s="142">
        <f t="shared" si="1"/>
        <v>5317</v>
      </c>
      <c r="AA6" s="142">
        <f>SUM(O6:R6)</f>
        <v>5422</v>
      </c>
      <c r="AC6" s="126">
        <f t="shared" ref="AC6:AC10" si="2">SUM(AA6/W6)-1</f>
        <v>5.3224553224553217E-2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Drivers'!B13</f>
        <v>Other Revenues</v>
      </c>
      <c r="C9" s="94">
        <f>'Revenue Drivers'!C13</f>
        <v>11</v>
      </c>
      <c r="D9" s="94">
        <f>'Revenue Drivers'!D13</f>
        <v>14</v>
      </c>
      <c r="E9" s="94">
        <f>'Revenue Drivers'!E13</f>
        <v>16</v>
      </c>
      <c r="F9" s="94" t="e">
        <f>'Revenue Drivers'!#REF!</f>
        <v>#REF!</v>
      </c>
      <c r="G9" s="10"/>
      <c r="H9" s="94">
        <f>'Revenue Drivers'!G13</f>
        <v>3</v>
      </c>
      <c r="I9" s="94">
        <f>'Revenue Drivers'!H13</f>
        <v>3</v>
      </c>
      <c r="J9" s="94">
        <f>'Revenue Drivers'!I13</f>
        <v>4</v>
      </c>
      <c r="K9" s="94">
        <f>'Revenue Drivers'!J13</f>
        <v>4</v>
      </c>
      <c r="L9" s="94">
        <f>'Revenue Drivers'!K13</f>
        <v>3</v>
      </c>
      <c r="M9" s="94">
        <f>'Revenue Drivers'!L13</f>
        <v>4</v>
      </c>
      <c r="N9" s="94">
        <f>'Revenue Drivers'!M13</f>
        <v>4</v>
      </c>
      <c r="O9" s="94">
        <f>'Revenue Drivers'!N13</f>
        <v>5</v>
      </c>
      <c r="P9" s="94">
        <f>'Revenue Drivers'!O13</f>
        <v>3</v>
      </c>
      <c r="Q9" s="94">
        <f>'Revenue Drivers'!P13</f>
        <v>5</v>
      </c>
      <c r="R9" s="94">
        <f>'Revenue Drivers'!Q13</f>
        <v>4</v>
      </c>
      <c r="S9" s="5"/>
      <c r="T9" s="142">
        <f t="shared" si="1"/>
        <v>14</v>
      </c>
      <c r="U9" s="142">
        <f t="shared" si="1"/>
        <v>14</v>
      </c>
      <c r="V9" s="142">
        <f t="shared" si="1"/>
        <v>15</v>
      </c>
      <c r="W9" s="142">
        <f t="shared" si="1"/>
        <v>15</v>
      </c>
      <c r="X9" s="142">
        <f t="shared" si="1"/>
        <v>16</v>
      </c>
      <c r="Y9" s="142">
        <f t="shared" si="1"/>
        <v>16</v>
      </c>
      <c r="Z9" s="142">
        <f t="shared" si="1"/>
        <v>17</v>
      </c>
      <c r="AA9" s="142">
        <f>SUM(O9:R9)</f>
        <v>17</v>
      </c>
      <c r="AC9" s="126">
        <f t="shared" si="2"/>
        <v>0.1333333333333333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115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119</v>
      </c>
      <c r="C19" s="141" t="e">
        <f>'Historical Financials'!#REF!</f>
        <v>#REF!</v>
      </c>
      <c r="D19" s="141">
        <f>'Historical Financials'!C17</f>
        <v>-2013</v>
      </c>
      <c r="E19" s="141">
        <f>'Historical Financials'!D17</f>
        <v>-1966</v>
      </c>
      <c r="F19" s="141">
        <f>'Historical Financials'!E17</f>
        <v>-1878</v>
      </c>
      <c r="G19" s="94"/>
      <c r="H19" s="141">
        <f>'Historical Financials'!G17</f>
        <v>-491</v>
      </c>
      <c r="I19" s="141">
        <f>'Historical Financials'!H17</f>
        <v>-498</v>
      </c>
      <c r="J19" s="141">
        <f>'Historical Financials'!I17</f>
        <v>-496</v>
      </c>
      <c r="K19" s="141">
        <f>'Historical Financials'!J17</f>
        <v>-481</v>
      </c>
      <c r="L19" s="141">
        <f>'Historical Financials'!K17</f>
        <v>-472</v>
      </c>
      <c r="M19" s="141">
        <f>'Historical Financials'!L17</f>
        <v>-471</v>
      </c>
      <c r="N19" s="141">
        <f>'Historical Financials'!M17</f>
        <v>-470</v>
      </c>
      <c r="O19" s="141">
        <f>'Historical Financials'!N17</f>
        <v>-465</v>
      </c>
      <c r="P19" s="141">
        <f>'Historical Financials'!O17</f>
        <v>-420</v>
      </c>
      <c r="Q19" s="141">
        <f>'Historical Financials'!P17</f>
        <v>-420</v>
      </c>
      <c r="R19" s="141">
        <f>'Historical Financials'!Q17</f>
        <v>-420</v>
      </c>
      <c r="S19" s="5"/>
      <c r="T19" s="142">
        <f t="shared" ref="T19:Z23" si="32">SUM(H19:K19)</f>
        <v>-1966</v>
      </c>
      <c r="U19" s="142">
        <f t="shared" si="32"/>
        <v>-1947</v>
      </c>
      <c r="V19" s="142">
        <f t="shared" si="32"/>
        <v>-1920</v>
      </c>
      <c r="W19" s="142">
        <f t="shared" si="32"/>
        <v>-1894</v>
      </c>
      <c r="X19" s="142">
        <f t="shared" si="32"/>
        <v>-1878</v>
      </c>
      <c r="Y19" s="142">
        <f t="shared" si="32"/>
        <v>-1826</v>
      </c>
      <c r="Z19" s="142">
        <f t="shared" si="32"/>
        <v>-1775</v>
      </c>
      <c r="AA19" s="142">
        <f>SUM(O19:R19)</f>
        <v>-1725</v>
      </c>
      <c r="AC19" s="126">
        <f t="shared" ref="AC19:AC23" si="33">SUM(AA19/W19)-1</f>
        <v>-8.9229144667370641E-2</v>
      </c>
    </row>
    <row r="20" spans="2:29" ht="12.75" customHeight="1">
      <c r="B20" s="23" t="s">
        <v>120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116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117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118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 t="e">
        <f>'Historical Financials'!#REF!</f>
        <v>#REF!</v>
      </c>
      <c r="D27" s="141">
        <f>'Historical Financials'!C92</f>
        <v>0</v>
      </c>
      <c r="E27" s="141">
        <f>'Historical Financials'!D92</f>
        <v>0</v>
      </c>
      <c r="F27" s="141">
        <f>'Historical Financials'!E92</f>
        <v>0</v>
      </c>
      <c r="H27" s="141">
        <f>'Historical Financials'!G92</f>
        <v>0</v>
      </c>
      <c r="I27" s="141">
        <f>'Historical Financials'!H92</f>
        <v>0</v>
      </c>
      <c r="J27" s="141">
        <f>'Historical Financials'!I92</f>
        <v>0</v>
      </c>
      <c r="K27" s="141">
        <f>'Historical Financials'!J92</f>
        <v>0</v>
      </c>
      <c r="L27" s="141">
        <f>'Historical Financials'!K92</f>
        <v>0</v>
      </c>
      <c r="M27" s="141">
        <f>'Historical Financials'!L92</f>
        <v>0</v>
      </c>
      <c r="N27" s="141">
        <f>'Historical Financials'!M92</f>
        <v>0</v>
      </c>
      <c r="O27" s="141">
        <f>'Historical Financials'!N92</f>
        <v>0</v>
      </c>
      <c r="P27" s="141">
        <f>'Historical Financials'!O92</f>
        <v>0</v>
      </c>
      <c r="Q27" s="141">
        <f>'Historical Financials'!P92</f>
        <v>0</v>
      </c>
      <c r="R27" s="141">
        <f>'Historical Financials'!Q92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121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122</v>
      </c>
      <c r="C32" s="141" t="e">
        <f>'Historical Financials'!#REF!</f>
        <v>#REF!</v>
      </c>
      <c r="D32" s="141">
        <f>'Historical Financials'!C94</f>
        <v>0</v>
      </c>
      <c r="E32" s="141">
        <f>'Historical Financials'!D94</f>
        <v>0</v>
      </c>
      <c r="F32" s="141">
        <f>'Historical Financials'!E94</f>
        <v>0</v>
      </c>
      <c r="H32" s="141">
        <f>'Historical Financials'!G94</f>
        <v>0</v>
      </c>
      <c r="I32" s="141">
        <f>'Historical Financials'!H94</f>
        <v>0</v>
      </c>
      <c r="J32" s="141">
        <f>'Historical Financials'!I94</f>
        <v>0</v>
      </c>
      <c r="K32" s="141">
        <f>'Historical Financials'!J94</f>
        <v>0</v>
      </c>
      <c r="L32" s="141">
        <f>'Historical Financials'!K94</f>
        <v>0</v>
      </c>
      <c r="M32" s="141">
        <f>'Historical Financials'!L94</f>
        <v>0</v>
      </c>
      <c r="N32" s="141">
        <f>'Historical Financials'!M94</f>
        <v>0</v>
      </c>
      <c r="O32" s="141">
        <f>'Historical Financials'!N94</f>
        <v>0</v>
      </c>
      <c r="P32" s="141">
        <f>'Historical Financials'!O94</f>
        <v>0</v>
      </c>
      <c r="Q32" s="141">
        <f>'Historical Financials'!P94</f>
        <v>0</v>
      </c>
      <c r="R32" s="141">
        <f>'Historical Financials'!Q94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123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124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 t="e">
        <f>'Historical Financials'!#REF!</f>
        <v>#REF!</v>
      </c>
      <c r="D38" s="141">
        <f>'Historical Financials'!C101</f>
        <v>0</v>
      </c>
      <c r="E38" s="141">
        <f>'Historical Financials'!D101</f>
        <v>0</v>
      </c>
      <c r="F38" s="141">
        <f>'Historical Financials'!E101</f>
        <v>0</v>
      </c>
      <c r="H38" s="141">
        <f>'Historical Financials'!G101</f>
        <v>0</v>
      </c>
      <c r="I38" s="141">
        <f>'Historical Financials'!H101</f>
        <v>0</v>
      </c>
      <c r="J38" s="141">
        <f>'Historical Financials'!I101</f>
        <v>0</v>
      </c>
      <c r="K38" s="141">
        <f>'Historical Financials'!J101</f>
        <v>0</v>
      </c>
      <c r="L38" s="141">
        <f>'Historical Financials'!K101</f>
        <v>0</v>
      </c>
      <c r="M38" s="141">
        <f>'Historical Financials'!L101</f>
        <v>0</v>
      </c>
      <c r="N38" s="141">
        <f>'Historical Financials'!M101</f>
        <v>0</v>
      </c>
      <c r="O38" s="141">
        <f>'Historical Financials'!N101</f>
        <v>0</v>
      </c>
      <c r="P38" s="141">
        <f>'Historical Financials'!O101</f>
        <v>0</v>
      </c>
      <c r="Q38" s="141">
        <f>'Historical Financials'!P101</f>
        <v>0</v>
      </c>
      <c r="R38" s="141">
        <f>'Historical Financials'!Q101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 t="e">
        <f>-'Historical Financials'!#REF!</f>
        <v>#REF!</v>
      </c>
      <c r="D39" s="141">
        <f>-'Historical Financials'!C126</f>
        <v>0</v>
      </c>
      <c r="E39" s="141">
        <f>-'Historical Financials'!D126</f>
        <v>0</v>
      </c>
      <c r="F39" s="141">
        <f>-'Historical Financials'!E126</f>
        <v>0</v>
      </c>
      <c r="H39" s="141">
        <f>-'Historical Financials'!G126</f>
        <v>0</v>
      </c>
      <c r="I39" s="141">
        <f>-'Historical Financials'!H126</f>
        <v>0</v>
      </c>
      <c r="J39" s="141">
        <f>-'Historical Financials'!I126</f>
        <v>0</v>
      </c>
      <c r="K39" s="141">
        <f>-'Historical Financials'!J126</f>
        <v>0</v>
      </c>
      <c r="L39" s="141">
        <f>-'Historical Financials'!K126</f>
        <v>0</v>
      </c>
      <c r="M39" s="141">
        <f>-'Historical Financials'!L126</f>
        <v>0</v>
      </c>
      <c r="N39" s="141">
        <f>-'Historical Financials'!M126</f>
        <v>0</v>
      </c>
      <c r="O39" s="141">
        <f>-'Historical Financials'!N126</f>
        <v>0</v>
      </c>
      <c r="P39" s="141">
        <f>-'Historical Financials'!O126</f>
        <v>0</v>
      </c>
      <c r="Q39" s="141">
        <f>-'Historical Financials'!P126</f>
        <v>0</v>
      </c>
      <c r="R39" s="141">
        <f>-'Historical Financials'!Q126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 t="e">
        <f>-'Historical Financials'!#REF!</f>
        <v>#REF!</v>
      </c>
      <c r="D40" s="141">
        <f>-'Historical Financials'!C125</f>
        <v>0</v>
      </c>
      <c r="E40" s="141">
        <f>-'Historical Financials'!D125</f>
        <v>0</v>
      </c>
      <c r="F40" s="141">
        <f>-'Historical Financials'!E125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 t="e">
        <f>'Historical Financials'!#REF!</f>
        <v>#REF!</v>
      </c>
      <c r="D44" s="141">
        <f>'Historical Financials'!C102</f>
        <v>0</v>
      </c>
      <c r="E44" s="141">
        <f>'Historical Financials'!D102</f>
        <v>0</v>
      </c>
      <c r="F44" s="141">
        <f>'Historical Financials'!E102</f>
        <v>0</v>
      </c>
      <c r="G44" s="32"/>
      <c r="H44" s="141">
        <f>'Historical Financials'!G102</f>
        <v>0</v>
      </c>
      <c r="I44" s="141">
        <f>'Historical Financials'!H102</f>
        <v>0</v>
      </c>
      <c r="J44" s="141">
        <f>'Historical Financials'!I102</f>
        <v>0</v>
      </c>
      <c r="K44" s="141">
        <f>'Historical Financials'!J102</f>
        <v>0</v>
      </c>
      <c r="L44" s="141">
        <f>'Historical Financials'!K102</f>
        <v>0</v>
      </c>
      <c r="M44" s="141">
        <f>'Historical Financials'!L102</f>
        <v>0</v>
      </c>
      <c r="N44" s="141">
        <f>'Historical Financials'!M102</f>
        <v>0</v>
      </c>
      <c r="O44" s="141">
        <f>'Historical Financials'!N102</f>
        <v>0</v>
      </c>
      <c r="P44" s="141">
        <f>'Historical Financials'!O102</f>
        <v>0</v>
      </c>
      <c r="Q44" s="141">
        <f>'Historical Financials'!P102</f>
        <v>0</v>
      </c>
      <c r="R44" s="141">
        <f>'Historical Financials'!Q102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 t="e">
        <f>'Historical Financials'!#REF!</f>
        <v>#REF!</v>
      </c>
      <c r="D45" s="141">
        <f>'Historical Financials'!C104</f>
        <v>0</v>
      </c>
      <c r="E45" s="141">
        <f>'Historical Financials'!D104</f>
        <v>0</v>
      </c>
      <c r="F45" s="141">
        <f>'Historical Financials'!E104</f>
        <v>0</v>
      </c>
      <c r="G45" s="32"/>
      <c r="H45" s="141">
        <f>'Historical Financials'!G104</f>
        <v>0</v>
      </c>
      <c r="I45" s="141">
        <f>'Historical Financials'!H104</f>
        <v>0</v>
      </c>
      <c r="J45" s="141">
        <f>'Historical Financials'!I104</f>
        <v>0</v>
      </c>
      <c r="K45" s="141">
        <f>'Historical Financials'!J104</f>
        <v>0</v>
      </c>
      <c r="L45" s="141">
        <f>'Historical Financials'!K104</f>
        <v>0</v>
      </c>
      <c r="M45" s="141">
        <f>'Historical Financials'!L104</f>
        <v>0</v>
      </c>
      <c r="N45" s="141">
        <f>'Historical Financials'!M104</f>
        <v>0</v>
      </c>
      <c r="O45" s="141">
        <f>'Historical Financials'!N104</f>
        <v>0</v>
      </c>
      <c r="P45" s="141">
        <f>'Historical Financials'!O104</f>
        <v>0</v>
      </c>
      <c r="Q45" s="141">
        <f>'Historical Financials'!P104</f>
        <v>0</v>
      </c>
      <c r="R45" s="141">
        <f>'Historical Financials'!Q104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125</v>
      </c>
      <c r="C46" s="141" t="e">
        <f>'Historical Financials'!#REF!</f>
        <v>#REF!</v>
      </c>
      <c r="D46" s="141">
        <f>'Historical Financials'!C103</f>
        <v>0</v>
      </c>
      <c r="E46" s="141">
        <f>'Historical Financials'!D103</f>
        <v>0</v>
      </c>
      <c r="F46" s="141">
        <f>'Historical Financials'!E103</f>
        <v>0</v>
      </c>
      <c r="G46" s="32"/>
      <c r="H46" s="141">
        <f>'Historical Financials'!G103</f>
        <v>0</v>
      </c>
      <c r="I46" s="141">
        <f>'Historical Financials'!H103</f>
        <v>0</v>
      </c>
      <c r="J46" s="141">
        <f>'Historical Financials'!I103</f>
        <v>0</v>
      </c>
      <c r="K46" s="141">
        <f>'Historical Financials'!J103</f>
        <v>0</v>
      </c>
      <c r="L46" s="141">
        <f>'Historical Financials'!K103</f>
        <v>0</v>
      </c>
      <c r="M46" s="141">
        <f>'Historical Financials'!L103</f>
        <v>0</v>
      </c>
      <c r="N46" s="141">
        <f>'Historical Financials'!M103</f>
        <v>0</v>
      </c>
      <c r="O46" s="141">
        <f>'Historical Financials'!N103</f>
        <v>0</v>
      </c>
      <c r="P46" s="141">
        <f>'Historical Financials'!O103</f>
        <v>0</v>
      </c>
      <c r="Q46" s="141">
        <f>'Historical Financials'!P103</f>
        <v>0</v>
      </c>
      <c r="R46" s="141">
        <f>'Historical Financials'!Q103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 t="e">
        <f>'Historical Financials'!#REF!</f>
        <v>#REF!</v>
      </c>
      <c r="D47" s="141">
        <f>'Historical Financials'!C108</f>
        <v>0</v>
      </c>
      <c r="E47" s="141">
        <f>'Historical Financials'!D108</f>
        <v>0</v>
      </c>
      <c r="F47" s="141">
        <f>'Historical Financials'!E108</f>
        <v>0</v>
      </c>
      <c r="G47" s="32"/>
      <c r="H47" s="141">
        <f>'Historical Financials'!G108</f>
        <v>0</v>
      </c>
      <c r="I47" s="141">
        <f>'Historical Financials'!H108</f>
        <v>0</v>
      </c>
      <c r="J47" s="141">
        <f>'Historical Financials'!I108</f>
        <v>0</v>
      </c>
      <c r="K47" s="141">
        <f>'Historical Financials'!J108</f>
        <v>0</v>
      </c>
      <c r="L47" s="141">
        <f>'Historical Financials'!K108</f>
        <v>0</v>
      </c>
      <c r="M47" s="141">
        <f>'Historical Financials'!L108</f>
        <v>0</v>
      </c>
      <c r="N47" s="141">
        <f>'Historical Financials'!M108</f>
        <v>0</v>
      </c>
      <c r="O47" s="141">
        <f>'Historical Financials'!N108</f>
        <v>0</v>
      </c>
      <c r="P47" s="141">
        <f>'Historical Financials'!O108</f>
        <v>0</v>
      </c>
      <c r="Q47" s="141">
        <f>'Historical Financials'!P108</f>
        <v>0</v>
      </c>
      <c r="R47" s="141">
        <f>'Historical Financials'!Q108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126</v>
      </c>
      <c r="C48" s="141" t="e">
        <f>'Historical Financials'!#REF!</f>
        <v>#REF!</v>
      </c>
      <c r="D48" s="141">
        <f>'Historical Financials'!C109</f>
        <v>0</v>
      </c>
      <c r="E48" s="141">
        <f>'Historical Financials'!D109</f>
        <v>0</v>
      </c>
      <c r="F48" s="141">
        <f>'Historical Financials'!E109</f>
        <v>0</v>
      </c>
      <c r="G48" s="32"/>
      <c r="H48" s="141">
        <f>'Historical Financials'!G109</f>
        <v>0</v>
      </c>
      <c r="I48" s="141">
        <f>'Historical Financials'!H109</f>
        <v>0</v>
      </c>
      <c r="J48" s="141">
        <f>'Historical Financials'!I109</f>
        <v>0</v>
      </c>
      <c r="K48" s="141">
        <f>'Historical Financials'!J109</f>
        <v>0</v>
      </c>
      <c r="L48" s="141">
        <f>'Historical Financials'!K109</f>
        <v>0</v>
      </c>
      <c r="M48" s="141">
        <f>'Historical Financials'!L109</f>
        <v>0</v>
      </c>
      <c r="N48" s="141">
        <f>'Historical Financials'!M109</f>
        <v>0</v>
      </c>
      <c r="O48" s="141">
        <f>'Historical Financials'!N109</f>
        <v>0</v>
      </c>
      <c r="P48" s="141">
        <f>'Historical Financials'!O109</f>
        <v>0</v>
      </c>
      <c r="Q48" s="141">
        <f>'Historical Financials'!P109</f>
        <v>0</v>
      </c>
      <c r="R48" s="141">
        <f>'Historical Financials'!Q109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 t="e">
        <f>SUM('Historical Financials'!#REF!)</f>
        <v>#REF!</v>
      </c>
      <c r="D49" s="141">
        <f>SUM('Historical Financials'!C110:C110)</f>
        <v>0</v>
      </c>
      <c r="E49" s="141">
        <f>SUM('Historical Financials'!D110:D110)</f>
        <v>0</v>
      </c>
      <c r="F49" s="141">
        <f>SUM('Historical Financials'!E110:E110)</f>
        <v>0</v>
      </c>
      <c r="G49" s="32"/>
      <c r="H49" s="141">
        <f>SUM('Historical Financials'!G110:G110)</f>
        <v>0</v>
      </c>
      <c r="I49" s="141">
        <f>SUM('Historical Financials'!H110:H110)</f>
        <v>0</v>
      </c>
      <c r="J49" s="141">
        <f>SUM('Historical Financials'!I110:I110)</f>
        <v>0</v>
      </c>
      <c r="K49" s="141">
        <f>SUM('Historical Financials'!J110:J110)</f>
        <v>0</v>
      </c>
      <c r="L49" s="141">
        <f>SUM('Historical Financials'!K110:K110)</f>
        <v>0</v>
      </c>
      <c r="M49" s="141">
        <f>SUM('Historical Financials'!L110:L110)</f>
        <v>0</v>
      </c>
      <c r="N49" s="141">
        <f>SUM('Historical Financials'!M110:M110)</f>
        <v>0</v>
      </c>
      <c r="O49" s="141">
        <f>SUM('Historical Financials'!N110:N110)</f>
        <v>0</v>
      </c>
      <c r="P49" s="141">
        <f>SUM('Historical Financials'!O110:O110)</f>
        <v>0</v>
      </c>
      <c r="Q49" s="141">
        <f>SUM('Historical Financials'!P110:P110)</f>
        <v>0</v>
      </c>
      <c r="R49" s="141">
        <f>SUM('Historical Financials'!Q110:Q110)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 t="e">
        <f>'Historical Financials'!#REF!</f>
        <v>#REF!</v>
      </c>
      <c r="D55" s="94">
        <f>'Historical Financials'!C45</f>
        <v>9882</v>
      </c>
      <c r="E55" s="94">
        <f>'Historical Financials'!D45</f>
        <v>6896</v>
      </c>
      <c r="F55" s="94">
        <f>'Historical Financials'!E45</f>
        <v>7616</v>
      </c>
      <c r="G55" s="32"/>
      <c r="H55" s="94">
        <f>'Historical Financials'!G45</f>
        <v>9161</v>
      </c>
      <c r="I55" s="94">
        <f>'Historical Financials'!H45</f>
        <v>7835</v>
      </c>
      <c r="J55" s="94">
        <f>'Historical Financials'!I45</f>
        <v>6709</v>
      </c>
      <c r="K55" s="94">
        <f>'Historical Financials'!J45</f>
        <v>6896</v>
      </c>
      <c r="L55" s="94">
        <f>'Historical Financials'!K45</f>
        <v>6284</v>
      </c>
      <c r="M55" s="94">
        <f>'Historical Financials'!L45</f>
        <v>6987</v>
      </c>
      <c r="N55" s="94">
        <f>'Historical Financials'!M45</f>
        <v>7558</v>
      </c>
      <c r="O55" s="94">
        <f>'Historical Financials'!N45</f>
        <v>7616</v>
      </c>
      <c r="P55" s="94">
        <f>'Historical Financials'!O45</f>
        <v>6532</v>
      </c>
      <c r="Q55" s="94">
        <f>'Historical Financials'!P45</f>
        <v>6951</v>
      </c>
      <c r="R55" s="94">
        <f>'Historical Financials'!Q45</f>
        <v>7511</v>
      </c>
      <c r="T55" s="10">
        <f t="shared" ref="T55:Z57" si="102">K55</f>
        <v>6896</v>
      </c>
      <c r="U55" s="10">
        <f t="shared" si="102"/>
        <v>6284</v>
      </c>
      <c r="V55" s="10">
        <f t="shared" si="102"/>
        <v>6987</v>
      </c>
      <c r="W55" s="10">
        <f t="shared" si="102"/>
        <v>7558</v>
      </c>
      <c r="X55" s="10">
        <f t="shared" si="102"/>
        <v>7616</v>
      </c>
      <c r="Y55" s="10">
        <f t="shared" si="102"/>
        <v>6532</v>
      </c>
      <c r="Z55" s="10">
        <f t="shared" si="102"/>
        <v>6951</v>
      </c>
      <c r="AA55" s="10">
        <f>R55</f>
        <v>7511</v>
      </c>
    </row>
    <row r="56" spans="1:27" ht="12.75" customHeight="1">
      <c r="B56" s="8" t="s">
        <v>127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6896</v>
      </c>
      <c r="U58" s="14">
        <f t="shared" si="105"/>
        <v>6284</v>
      </c>
      <c r="V58" s="14">
        <f t="shared" si="105"/>
        <v>6987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131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132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136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 t="e">
        <f>'Historical Financials'!#REF!</f>
        <v>#REF!</v>
      </c>
      <c r="D65" s="94">
        <f>'Historical Financials'!C53</f>
        <v>766</v>
      </c>
      <c r="E65" s="94">
        <f>'Historical Financials'!D53</f>
        <v>799</v>
      </c>
      <c r="F65" s="94">
        <f>'Historical Financials'!E53</f>
        <v>886</v>
      </c>
      <c r="H65" s="94">
        <f>'Historical Financials'!G53</f>
        <v>776</v>
      </c>
      <c r="I65" s="94">
        <f>'Historical Financials'!H53</f>
        <v>799</v>
      </c>
      <c r="J65" s="94">
        <f>'Historical Financials'!I53</f>
        <v>788</v>
      </c>
      <c r="K65" s="94">
        <f>'Historical Financials'!J53</f>
        <v>799</v>
      </c>
      <c r="L65" s="94">
        <f>'Historical Financials'!K53</f>
        <v>818</v>
      </c>
      <c r="M65" s="94">
        <f>'Historical Financials'!L53</f>
        <v>877</v>
      </c>
      <c r="N65" s="94">
        <f>'Historical Financials'!M53</f>
        <v>912</v>
      </c>
      <c r="O65" s="94">
        <f>'Historical Financials'!N53</f>
        <v>886</v>
      </c>
      <c r="P65" s="94">
        <f>'Historical Financials'!O53</f>
        <v>907</v>
      </c>
      <c r="Q65" s="94">
        <f>'Historical Financials'!P53</f>
        <v>958</v>
      </c>
      <c r="R65" s="94">
        <f>'Historical Financials'!Q53</f>
        <v>951</v>
      </c>
      <c r="S65" s="10"/>
      <c r="T65" s="10">
        <f t="shared" si="106"/>
        <v>799</v>
      </c>
      <c r="U65" s="10">
        <f t="shared" si="106"/>
        <v>818</v>
      </c>
      <c r="V65" s="10">
        <f t="shared" si="106"/>
        <v>877</v>
      </c>
      <c r="W65" s="10">
        <f t="shared" si="106"/>
        <v>912</v>
      </c>
      <c r="X65" s="10">
        <f t="shared" si="106"/>
        <v>886</v>
      </c>
      <c r="Y65" s="10">
        <f t="shared" si="106"/>
        <v>907</v>
      </c>
      <c r="Z65" s="10">
        <f t="shared" si="106"/>
        <v>958</v>
      </c>
      <c r="AA65" s="10">
        <f t="shared" si="107"/>
        <v>951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 t="e">
        <f>'Historical Financials'!#REF!</f>
        <v>#REF!</v>
      </c>
      <c r="D67" s="94">
        <f>'Historical Financials'!C61</f>
        <v>4607</v>
      </c>
      <c r="E67" s="94">
        <f>'Historical Financials'!D61</f>
        <v>4295</v>
      </c>
      <c r="F67" s="94">
        <f>'Historical Financials'!E61</f>
        <v>4195</v>
      </c>
      <c r="G67" s="94"/>
      <c r="H67" s="94">
        <f>'Historical Financials'!G61</f>
        <v>4167</v>
      </c>
      <c r="I67" s="94">
        <f>'Historical Financials'!H61</f>
        <v>4211</v>
      </c>
      <c r="J67" s="94">
        <f>'Historical Financials'!I61</f>
        <v>3961</v>
      </c>
      <c r="K67" s="94">
        <f>'Historical Financials'!J61</f>
        <v>4295</v>
      </c>
      <c r="L67" s="94">
        <f>'Historical Financials'!K61</f>
        <v>4178</v>
      </c>
      <c r="M67" s="94">
        <f>'Historical Financials'!L61</f>
        <v>4125</v>
      </c>
      <c r="N67" s="94">
        <f>'Historical Financials'!M61</f>
        <v>4034</v>
      </c>
      <c r="O67" s="94">
        <f>'Historical Financials'!N61</f>
        <v>4195</v>
      </c>
      <c r="P67" s="94">
        <f>'Historical Financials'!O61</f>
        <v>4214</v>
      </c>
      <c r="Q67" s="94">
        <f>'Historical Financials'!P61</f>
        <v>4306</v>
      </c>
      <c r="R67" s="94">
        <f>'Historical Financials'!Q61</f>
        <v>4123</v>
      </c>
      <c r="T67" s="10">
        <f t="shared" si="106"/>
        <v>4295</v>
      </c>
      <c r="U67" s="10">
        <f t="shared" si="106"/>
        <v>4178</v>
      </c>
      <c r="V67" s="10">
        <f t="shared" si="106"/>
        <v>4125</v>
      </c>
      <c r="W67" s="10">
        <f t="shared" si="106"/>
        <v>4034</v>
      </c>
      <c r="X67" s="10">
        <f t="shared" si="106"/>
        <v>4195</v>
      </c>
      <c r="Y67" s="10">
        <f t="shared" si="106"/>
        <v>4214</v>
      </c>
      <c r="Z67" s="10">
        <f t="shared" si="106"/>
        <v>4306</v>
      </c>
      <c r="AA67" s="10">
        <f t="shared" si="107"/>
        <v>4123</v>
      </c>
    </row>
    <row r="68" spans="2:27" ht="12.75" customHeight="1">
      <c r="B68" s="8" t="s">
        <v>45</v>
      </c>
      <c r="C68" s="94" t="e">
        <f>'Historical Financials'!#REF!</f>
        <v>#REF!</v>
      </c>
      <c r="D68" s="94">
        <f>'Historical Financials'!C67</f>
        <v>15489</v>
      </c>
      <c r="E68" s="94">
        <f>'Historical Financials'!D67</f>
        <v>13841</v>
      </c>
      <c r="F68" s="94">
        <f>'Historical Financials'!E67</f>
        <v>14157</v>
      </c>
      <c r="G68" s="94"/>
      <c r="H68" s="94">
        <f>'Historical Financials'!G67</f>
        <v>14530</v>
      </c>
      <c r="I68" s="94">
        <f>'Historical Financials'!H67</f>
        <v>14350</v>
      </c>
      <c r="J68" s="94">
        <f>'Historical Financials'!I67</f>
        <v>13042</v>
      </c>
      <c r="K68" s="94">
        <f>'Historical Financials'!J67</f>
        <v>13841</v>
      </c>
      <c r="L68" s="94">
        <f>'Historical Financials'!K67</f>
        <v>14021</v>
      </c>
      <c r="M68" s="94">
        <f>'Historical Financials'!L67</f>
        <v>13760</v>
      </c>
      <c r="N68" s="94">
        <f>'Historical Financials'!M67</f>
        <v>14902</v>
      </c>
      <c r="O68" s="94">
        <f>'Historical Financials'!N67</f>
        <v>14157</v>
      </c>
      <c r="P68" s="94">
        <f>'Historical Financials'!O67</f>
        <v>13004</v>
      </c>
      <c r="Q68" s="94">
        <f>'Historical Financials'!P67</f>
        <v>13439</v>
      </c>
      <c r="R68" s="94">
        <f>'Historical Financials'!Q67</f>
        <v>14582</v>
      </c>
      <c r="T68" s="10">
        <f t="shared" si="106"/>
        <v>13841</v>
      </c>
      <c r="U68" s="10">
        <f t="shared" si="106"/>
        <v>14021</v>
      </c>
      <c r="V68" s="10">
        <f t="shared" si="106"/>
        <v>13760</v>
      </c>
      <c r="W68" s="10">
        <f t="shared" si="106"/>
        <v>14902</v>
      </c>
      <c r="X68" s="10">
        <f t="shared" si="106"/>
        <v>14157</v>
      </c>
      <c r="Y68" s="10">
        <f t="shared" si="106"/>
        <v>13004</v>
      </c>
      <c r="Z68" s="10">
        <f t="shared" si="106"/>
        <v>13439</v>
      </c>
      <c r="AA68" s="10">
        <f t="shared" si="107"/>
        <v>14582</v>
      </c>
    </row>
    <row r="69" spans="2:27" ht="12.75" customHeight="1">
      <c r="B69" s="8" t="s">
        <v>15</v>
      </c>
      <c r="C69" s="94" t="e">
        <f>'Historical Financials'!#REF!</f>
        <v>#REF!</v>
      </c>
      <c r="D69" s="94">
        <f>'Historical Financials'!C72</f>
        <v>37533</v>
      </c>
      <c r="E69" s="94">
        <f>'Historical Financials'!D72</f>
        <v>34387</v>
      </c>
      <c r="F69" s="94">
        <f>'Historical Financials'!E72</f>
        <v>33513</v>
      </c>
      <c r="G69" s="94"/>
      <c r="H69" s="94">
        <f>'Historical Financials'!G72</f>
        <v>36562</v>
      </c>
      <c r="I69" s="94">
        <f>'Historical Financials'!H72</f>
        <v>35950</v>
      </c>
      <c r="J69" s="94">
        <f>'Historical Financials'!I72</f>
        <v>34396</v>
      </c>
      <c r="K69" s="94">
        <f>'Historical Financials'!J72</f>
        <v>34387</v>
      </c>
      <c r="L69" s="94">
        <f>'Historical Financials'!K72</f>
        <v>33424</v>
      </c>
      <c r="M69" s="94">
        <f>'Historical Financials'!L72</f>
        <v>33457</v>
      </c>
      <c r="N69" s="94">
        <f>'Historical Financials'!M72</f>
        <v>34328</v>
      </c>
      <c r="O69" s="94">
        <f>'Historical Financials'!N72</f>
        <v>33513</v>
      </c>
      <c r="P69" s="94">
        <f>'Historical Financials'!O72</f>
        <v>32384</v>
      </c>
      <c r="Q69" s="94">
        <f>'Historical Financials'!P72</f>
        <v>33170</v>
      </c>
      <c r="R69" s="94">
        <f>'Historical Financials'!Q72</f>
        <v>32917</v>
      </c>
      <c r="T69" s="10">
        <f t="shared" si="106"/>
        <v>34387</v>
      </c>
      <c r="U69" s="10">
        <f t="shared" si="106"/>
        <v>33424</v>
      </c>
      <c r="V69" s="10">
        <f t="shared" si="106"/>
        <v>33457</v>
      </c>
      <c r="W69" s="10">
        <f t="shared" si="106"/>
        <v>34328</v>
      </c>
      <c r="X69" s="10">
        <f t="shared" si="106"/>
        <v>33513</v>
      </c>
      <c r="Y69" s="10">
        <f t="shared" si="106"/>
        <v>32384</v>
      </c>
      <c r="Z69" s="10">
        <f t="shared" si="106"/>
        <v>33170</v>
      </c>
      <c r="AA69" s="10">
        <f t="shared" si="107"/>
        <v>32917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 t="e">
        <f>'Historical Financials'!#REF!</f>
        <v>#REF!</v>
      </c>
      <c r="D87" s="94">
        <f>'Historical Financials'!C78</f>
        <v>36905</v>
      </c>
      <c r="E87" s="94">
        <f>'Historical Financials'!D78</f>
        <v>38827</v>
      </c>
      <c r="F87" s="94">
        <f>'Historical Financials'!E78</f>
        <v>47901</v>
      </c>
      <c r="H87" s="94">
        <f>'Historical Financials'!G78</f>
        <v>3723</v>
      </c>
      <c r="I87" s="94">
        <f>'Historical Financials'!H78</f>
        <v>37404</v>
      </c>
      <c r="J87" s="94">
        <f>'Historical Financials'!I78</f>
        <v>37694</v>
      </c>
      <c r="K87" s="94">
        <f>'Historical Financials'!J78</f>
        <v>38827</v>
      </c>
      <c r="L87" s="94">
        <f>'Historical Financials'!K78</f>
        <v>39043</v>
      </c>
      <c r="M87" s="94">
        <f>'Historical Financials'!L78</f>
        <v>39560</v>
      </c>
      <c r="N87" s="94">
        <f>'Historical Financials'!M78</f>
        <v>40028</v>
      </c>
      <c r="O87" s="94">
        <f>'Historical Financials'!N78</f>
        <v>47901</v>
      </c>
      <c r="P87" s="94">
        <f>'Historical Financials'!O78</f>
        <v>49064</v>
      </c>
      <c r="Q87" s="94">
        <f>'Historical Financials'!P78</f>
        <v>50829</v>
      </c>
      <c r="R87" s="94">
        <f>'Historical Financials'!Q78</f>
        <v>51264</v>
      </c>
      <c r="T87" s="10">
        <f t="shared" ref="T87:AA87" si="130">K87</f>
        <v>38827</v>
      </c>
      <c r="U87" s="10">
        <f t="shared" si="130"/>
        <v>39043</v>
      </c>
      <c r="V87" s="10">
        <f t="shared" si="130"/>
        <v>39560</v>
      </c>
      <c r="W87" s="142">
        <f t="shared" si="130"/>
        <v>40028</v>
      </c>
      <c r="X87" s="142">
        <f t="shared" si="130"/>
        <v>47901</v>
      </c>
      <c r="Y87" s="142">
        <f t="shared" si="130"/>
        <v>49064</v>
      </c>
      <c r="Z87" s="142">
        <f t="shared" si="130"/>
        <v>50829</v>
      </c>
      <c r="AA87" s="142">
        <f t="shared" si="130"/>
        <v>51264</v>
      </c>
    </row>
    <row r="88" spans="1:27" ht="12.75" customHeight="1">
      <c r="B88" s="13" t="s">
        <v>47</v>
      </c>
      <c r="C88" s="14" t="e">
        <f>SUM(C85:C87)</f>
        <v>#REF!</v>
      </c>
      <c r="D88" s="14">
        <f>SUM(D85:D87)</f>
        <v>39406</v>
      </c>
      <c r="E88" s="14">
        <f>SUM(E85:E87)</f>
        <v>41327</v>
      </c>
      <c r="F88" s="14">
        <f>SUM(F85:F87)</f>
        <v>49651</v>
      </c>
      <c r="H88" s="14">
        <f t="shared" ref="H88:M88" si="131">SUM(H85:H87)</f>
        <v>6223</v>
      </c>
      <c r="I88" s="14">
        <f t="shared" si="131"/>
        <v>39904</v>
      </c>
      <c r="J88" s="14">
        <f t="shared" si="131"/>
        <v>40194</v>
      </c>
      <c r="K88" s="14">
        <f t="shared" si="131"/>
        <v>41327</v>
      </c>
      <c r="L88" s="14">
        <f t="shared" si="131"/>
        <v>41543</v>
      </c>
      <c r="M88" s="14">
        <f t="shared" si="131"/>
        <v>41310</v>
      </c>
      <c r="N88" s="14">
        <f>SUM(N85:N87)</f>
        <v>41778</v>
      </c>
      <c r="O88" s="14">
        <f>SUM(O85:O87)</f>
        <v>49651</v>
      </c>
      <c r="P88" s="14">
        <f>SUM(P85:P87)</f>
        <v>53264</v>
      </c>
      <c r="Q88" s="14">
        <f>SUM(Q85:Q87)</f>
        <v>54079</v>
      </c>
      <c r="R88" s="14">
        <f>SUM(R85:R87)</f>
        <v>54514</v>
      </c>
      <c r="T88" s="14">
        <f t="shared" ref="T88:Y88" si="132">SUM(T85:T87)</f>
        <v>41327</v>
      </c>
      <c r="U88" s="14">
        <f t="shared" si="132"/>
        <v>41543</v>
      </c>
      <c r="V88" s="14">
        <f t="shared" si="132"/>
        <v>41310</v>
      </c>
      <c r="W88" s="14">
        <f t="shared" si="132"/>
        <v>41778</v>
      </c>
      <c r="X88" s="14">
        <f t="shared" si="132"/>
        <v>49651</v>
      </c>
      <c r="Y88" s="14">
        <f t="shared" si="132"/>
        <v>53264</v>
      </c>
      <c r="Z88" s="14">
        <f>SUM(Z85:Z87)</f>
        <v>54079</v>
      </c>
      <c r="AA88" s="14">
        <f>SUM(AA85:AA87)</f>
        <v>54514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 t="e">
        <f>C88/C85</f>
        <v>#REF!</v>
      </c>
      <c r="D97" s="83">
        <f>D88/D85</f>
        <v>15.75609756097561</v>
      </c>
      <c r="E97" s="83">
        <f>E88/E85</f>
        <v>16.530799999999999</v>
      </c>
      <c r="F97" s="83">
        <f>F88/F85</f>
        <v>28.372</v>
      </c>
      <c r="H97" s="83">
        <f t="shared" ref="H97:Q97" si="138">H88/H85</f>
        <v>2.4891999999999999</v>
      </c>
      <c r="I97" s="83">
        <f t="shared" si="138"/>
        <v>15.961600000000001</v>
      </c>
      <c r="J97" s="83">
        <f t="shared" si="138"/>
        <v>16.0776</v>
      </c>
      <c r="K97" s="83">
        <f t="shared" si="138"/>
        <v>16.530799999999999</v>
      </c>
      <c r="L97" s="83">
        <f t="shared" si="138"/>
        <v>16.6172</v>
      </c>
      <c r="M97" s="83">
        <f t="shared" si="138"/>
        <v>23.605714285714285</v>
      </c>
      <c r="N97" s="83">
        <f t="shared" si="138"/>
        <v>23.873142857142856</v>
      </c>
      <c r="O97" s="83">
        <f t="shared" si="138"/>
        <v>28.372</v>
      </c>
      <c r="P97" s="83">
        <f t="shared" si="138"/>
        <v>12.681904761904763</v>
      </c>
      <c r="Q97" s="83">
        <f t="shared" si="138"/>
        <v>16.639692307692307</v>
      </c>
      <c r="R97" s="83">
        <f>R88/R85</f>
        <v>16.773538461538461</v>
      </c>
      <c r="S97" s="83"/>
      <c r="T97" s="83">
        <f t="shared" ref="T97:Y97" si="139">T88/T85</f>
        <v>16.530799999999999</v>
      </c>
      <c r="U97" s="83">
        <f t="shared" si="139"/>
        <v>16.6172</v>
      </c>
      <c r="V97" s="83">
        <f t="shared" si="139"/>
        <v>23.605714285714285</v>
      </c>
      <c r="W97" s="83">
        <f t="shared" si="139"/>
        <v>23.873142857142856</v>
      </c>
      <c r="X97" s="83">
        <f t="shared" si="139"/>
        <v>28.372</v>
      </c>
      <c r="Y97" s="83">
        <f t="shared" si="139"/>
        <v>12.681904761904763</v>
      </c>
      <c r="Z97" s="83">
        <f>Z88/Z85</f>
        <v>16.639692307692307</v>
      </c>
      <c r="AA97" s="83">
        <f>AA88/AA85</f>
        <v>16.773538461538461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2025-12-28T19:37:17Z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