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5C47CA4F-B4AF-4EED-8C58-7E21CA17D072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8" i="8" l="1"/>
  <c r="F162" i="8"/>
  <c r="E162" i="8"/>
  <c r="D162" i="8"/>
  <c r="L147" i="8"/>
  <c r="L146" i="8"/>
  <c r="L145" i="8"/>
  <c r="D154" i="8"/>
  <c r="F158" i="8"/>
  <c r="K162" i="8"/>
  <c r="J162" i="8"/>
  <c r="I162" i="8"/>
  <c r="C162" i="8"/>
  <c r="AJ147" i="8"/>
  <c r="AI147" i="8"/>
  <c r="AH147" i="8"/>
  <c r="AG147" i="8"/>
  <c r="AF147" i="8"/>
  <c r="AE147" i="8"/>
  <c r="AD147" i="8"/>
  <c r="AC147" i="8"/>
  <c r="C151" i="8"/>
  <c r="C158" i="8"/>
  <c r="E158" i="8"/>
  <c r="P158" i="8" s="1"/>
  <c r="Q154" i="8" s="1"/>
  <c r="D158" i="8"/>
  <c r="AI148" i="8"/>
  <c r="AH148" i="8"/>
  <c r="AD148" i="8"/>
  <c r="AJ146" i="8"/>
  <c r="AI146" i="8"/>
  <c r="AH146" i="8"/>
  <c r="AG146" i="8"/>
  <c r="AF146" i="8"/>
  <c r="AE146" i="8"/>
  <c r="AD146" i="8"/>
  <c r="AC146" i="8"/>
  <c r="AJ145" i="8"/>
  <c r="AI145" i="8"/>
  <c r="AH145" i="8"/>
  <c r="AG145" i="8"/>
  <c r="AF145" i="8"/>
  <c r="AE145" i="8"/>
  <c r="AD145" i="8"/>
  <c r="AC145" i="8"/>
  <c r="AH141" i="8"/>
  <c r="AD141" i="8"/>
  <c r="AD140" i="8"/>
  <c r="X142" i="8"/>
  <c r="AJ142" i="8" s="1"/>
  <c r="X141" i="8"/>
  <c r="AJ141" i="8" s="1"/>
  <c r="X140" i="8"/>
  <c r="AJ140" i="8" s="1"/>
  <c r="T142" i="8"/>
  <c r="AD142" i="8" s="1"/>
  <c r="T141" i="8"/>
  <c r="AF141" i="8" s="1"/>
  <c r="T140" i="8"/>
  <c r="AF140" i="8" s="1"/>
  <c r="P142" i="8"/>
  <c r="P141" i="8"/>
  <c r="P140" i="8"/>
  <c r="L141" i="8"/>
  <c r="L140" i="8"/>
  <c r="I154" i="8"/>
  <c r="I153" i="8"/>
  <c r="L166" i="8"/>
  <c r="L165" i="8"/>
  <c r="P166" i="8"/>
  <c r="P165" i="8"/>
  <c r="P157" i="8"/>
  <c r="L158" i="8"/>
  <c r="M154" i="8" s="1"/>
  <c r="L157" i="8"/>
  <c r="P154" i="8"/>
  <c r="O154" i="8"/>
  <c r="N154" i="8"/>
  <c r="L154" i="8"/>
  <c r="K154" i="8"/>
  <c r="J154" i="8"/>
  <c r="X150" i="8"/>
  <c r="X149" i="8"/>
  <c r="AJ149" i="8" s="1"/>
  <c r="X148" i="8"/>
  <c r="AJ148" i="8" s="1"/>
  <c r="X144" i="8"/>
  <c r="AJ144" i="8" s="1"/>
  <c r="X143" i="8"/>
  <c r="AJ143" i="8" s="1"/>
  <c r="X139" i="8"/>
  <c r="AJ139" i="8" s="1"/>
  <c r="X138" i="8"/>
  <c r="AJ138" i="8" s="1"/>
  <c r="X137" i="8"/>
  <c r="AJ137" i="8" s="1"/>
  <c r="X136" i="8"/>
  <c r="AJ136" i="8" s="1"/>
  <c r="T150" i="8"/>
  <c r="T149" i="8"/>
  <c r="AD149" i="8" s="1"/>
  <c r="T148" i="8"/>
  <c r="AF148" i="8" s="1"/>
  <c r="T144" i="8"/>
  <c r="AD144" i="8" s="1"/>
  <c r="T143" i="8"/>
  <c r="AD143" i="8" s="1"/>
  <c r="T139" i="8"/>
  <c r="AD139" i="8" s="1"/>
  <c r="T138" i="8"/>
  <c r="AD138" i="8" s="1"/>
  <c r="T137" i="8"/>
  <c r="AD137" i="8" s="1"/>
  <c r="T136" i="8"/>
  <c r="AD136" i="8" s="1"/>
  <c r="P150" i="8"/>
  <c r="P149" i="8"/>
  <c r="P148" i="8"/>
  <c r="P144" i="8"/>
  <c r="P143" i="8"/>
  <c r="P139" i="8"/>
  <c r="P138" i="8"/>
  <c r="P137" i="8"/>
  <c r="P136" i="8"/>
  <c r="L149" i="8"/>
  <c r="L148" i="8"/>
  <c r="L144" i="8"/>
  <c r="L143" i="8"/>
  <c r="L142" i="8"/>
  <c r="L139" i="8"/>
  <c r="L138" i="8"/>
  <c r="L137" i="8"/>
  <c r="L136" i="8"/>
  <c r="P116" i="8"/>
  <c r="AA109" i="8"/>
  <c r="Z109" i="8"/>
  <c r="Y109" i="8"/>
  <c r="W109" i="8"/>
  <c r="V109" i="8"/>
  <c r="U109" i="8"/>
  <c r="S109" i="8"/>
  <c r="R109" i="8"/>
  <c r="Q109" i="8"/>
  <c r="O109" i="8"/>
  <c r="N109" i="8"/>
  <c r="M109" i="8"/>
  <c r="K109" i="8"/>
  <c r="J109" i="8"/>
  <c r="I109" i="8"/>
  <c r="AA111" i="8"/>
  <c r="Z111" i="8"/>
  <c r="Y111" i="8"/>
  <c r="W111" i="8"/>
  <c r="V111" i="8"/>
  <c r="U111" i="8"/>
  <c r="S111" i="8"/>
  <c r="R111" i="8"/>
  <c r="Q111" i="8"/>
  <c r="O111" i="8"/>
  <c r="N111" i="8"/>
  <c r="M111" i="8"/>
  <c r="K111" i="8"/>
  <c r="J111" i="8"/>
  <c r="I111" i="8"/>
  <c r="F111" i="8"/>
  <c r="E111" i="8"/>
  <c r="D111" i="8"/>
  <c r="C111" i="8"/>
  <c r="G111" i="8"/>
  <c r="F109" i="8"/>
  <c r="E109" i="8"/>
  <c r="D109" i="8"/>
  <c r="G109" i="8"/>
  <c r="AA105" i="8"/>
  <c r="Z105" i="8"/>
  <c r="Y105" i="8"/>
  <c r="W105" i="8"/>
  <c r="V105" i="8"/>
  <c r="U105" i="8"/>
  <c r="S105" i="8"/>
  <c r="R105" i="8"/>
  <c r="Q105" i="8"/>
  <c r="O105" i="8"/>
  <c r="N105" i="8"/>
  <c r="M105" i="8"/>
  <c r="K105" i="8"/>
  <c r="J105" i="8"/>
  <c r="I105" i="8"/>
  <c r="G105" i="8"/>
  <c r="F105" i="8"/>
  <c r="E105" i="8"/>
  <c r="D105" i="8"/>
  <c r="X110" i="8"/>
  <c r="AJ110" i="8" s="1"/>
  <c r="T110" i="8"/>
  <c r="AF110" i="8" s="1"/>
  <c r="P110" i="8"/>
  <c r="L110" i="8"/>
  <c r="E154" i="8"/>
  <c r="X129" i="8"/>
  <c r="AJ129" i="8" s="1"/>
  <c r="T129" i="8"/>
  <c r="AE129" i="8" s="1"/>
  <c r="P129" i="8"/>
  <c r="L129" i="8"/>
  <c r="X128" i="8"/>
  <c r="AJ128" i="8" s="1"/>
  <c r="T128" i="8"/>
  <c r="AF128" i="8" s="1"/>
  <c r="P128" i="8"/>
  <c r="L128" i="8"/>
  <c r="X126" i="8"/>
  <c r="AJ126" i="8" s="1"/>
  <c r="T126" i="8"/>
  <c r="AC126" i="8" s="1"/>
  <c r="P126" i="8"/>
  <c r="L126" i="8"/>
  <c r="X125" i="8"/>
  <c r="AH125" i="8" s="1"/>
  <c r="T125" i="8"/>
  <c r="AF125" i="8" s="1"/>
  <c r="P125" i="8"/>
  <c r="L125" i="8"/>
  <c r="X114" i="8"/>
  <c r="AJ114" i="8" s="1"/>
  <c r="T114" i="8"/>
  <c r="AC114" i="8" s="1"/>
  <c r="P114" i="8"/>
  <c r="L114" i="8"/>
  <c r="X113" i="8"/>
  <c r="AH113" i="8" s="1"/>
  <c r="T113" i="8"/>
  <c r="AF113" i="8" s="1"/>
  <c r="P113" i="8"/>
  <c r="L113" i="8"/>
  <c r="X112" i="8"/>
  <c r="AJ112" i="8" s="1"/>
  <c r="T112" i="8"/>
  <c r="AF112" i="8" s="1"/>
  <c r="P112" i="8"/>
  <c r="L112" i="8"/>
  <c r="X118" i="8"/>
  <c r="AJ118" i="8" s="1"/>
  <c r="T118" i="8"/>
  <c r="AC118" i="8" s="1"/>
  <c r="P118" i="8"/>
  <c r="L118" i="8"/>
  <c r="X117" i="8"/>
  <c r="AH117" i="8" s="1"/>
  <c r="T117" i="8"/>
  <c r="AF117" i="8" s="1"/>
  <c r="P117" i="8"/>
  <c r="L117" i="8"/>
  <c r="X116" i="8"/>
  <c r="AJ116" i="8" s="1"/>
  <c r="T116" i="8"/>
  <c r="AE116" i="8" s="1"/>
  <c r="L116" i="8"/>
  <c r="C87" i="8"/>
  <c r="C88" i="8" s="1"/>
  <c r="C91" i="8" s="1"/>
  <c r="AJ90" i="8"/>
  <c r="AI90" i="8"/>
  <c r="AH90" i="8"/>
  <c r="AF90" i="8"/>
  <c r="AE90" i="8"/>
  <c r="AD90" i="8"/>
  <c r="X90" i="8"/>
  <c r="AG90" i="8" s="1"/>
  <c r="T90" i="8"/>
  <c r="AC90" i="8" s="1"/>
  <c r="P90" i="8"/>
  <c r="L90" i="8"/>
  <c r="AJ84" i="8"/>
  <c r="AI84" i="8"/>
  <c r="AH84" i="8"/>
  <c r="AF84" i="8"/>
  <c r="AE84" i="8"/>
  <c r="AD84" i="8"/>
  <c r="X84" i="8"/>
  <c r="AG84" i="8" s="1"/>
  <c r="T84" i="8"/>
  <c r="AC84" i="8" s="1"/>
  <c r="P84" i="8"/>
  <c r="L84" i="8"/>
  <c r="AJ83" i="8"/>
  <c r="AI83" i="8"/>
  <c r="AH83" i="8"/>
  <c r="AF83" i="8"/>
  <c r="AE83" i="8"/>
  <c r="AD83" i="8"/>
  <c r="X83" i="8"/>
  <c r="AG83" i="8" s="1"/>
  <c r="T83" i="8"/>
  <c r="AC83" i="8" s="1"/>
  <c r="P83" i="8"/>
  <c r="L83" i="8"/>
  <c r="P135" i="8"/>
  <c r="P134" i="8"/>
  <c r="P130" i="8"/>
  <c r="P127" i="8"/>
  <c r="P124" i="8"/>
  <c r="P123" i="8"/>
  <c r="P119" i="8"/>
  <c r="P108" i="8"/>
  <c r="P107" i="8"/>
  <c r="P106" i="8"/>
  <c r="L150" i="8"/>
  <c r="L135" i="8"/>
  <c r="L134" i="8"/>
  <c r="L130" i="8"/>
  <c r="L127" i="8"/>
  <c r="L124" i="8"/>
  <c r="L123" i="8"/>
  <c r="L119" i="8"/>
  <c r="L108" i="8"/>
  <c r="L107" i="8"/>
  <c r="L106" i="8"/>
  <c r="L87" i="8"/>
  <c r="L86" i="8"/>
  <c r="L85" i="8"/>
  <c r="L82" i="8"/>
  <c r="L79" i="8"/>
  <c r="L78" i="8"/>
  <c r="L77" i="8"/>
  <c r="L73" i="8"/>
  <c r="L72" i="8"/>
  <c r="L71" i="8"/>
  <c r="L70" i="8"/>
  <c r="L66" i="8"/>
  <c r="L65" i="8"/>
  <c r="L64" i="8"/>
  <c r="L63" i="8"/>
  <c r="L62" i="8"/>
  <c r="L58" i="8"/>
  <c r="L57" i="8"/>
  <c r="L56" i="8"/>
  <c r="L55" i="8"/>
  <c r="L54" i="8"/>
  <c r="L53" i="8"/>
  <c r="P87" i="8"/>
  <c r="P86" i="8"/>
  <c r="P85" i="8"/>
  <c r="P82" i="8"/>
  <c r="P79" i="8"/>
  <c r="P78" i="8"/>
  <c r="P77" i="8"/>
  <c r="P73" i="8"/>
  <c r="P72" i="8"/>
  <c r="P71" i="8"/>
  <c r="P70" i="8"/>
  <c r="P66" i="8"/>
  <c r="P65" i="8"/>
  <c r="P64" i="8"/>
  <c r="P63" i="8"/>
  <c r="P62" i="8"/>
  <c r="P58" i="8"/>
  <c r="P57" i="8"/>
  <c r="P56" i="8"/>
  <c r="P55" i="8"/>
  <c r="P54" i="8"/>
  <c r="P53" i="8"/>
  <c r="T87" i="8"/>
  <c r="T86" i="8"/>
  <c r="T85" i="8"/>
  <c r="T82" i="8"/>
  <c r="T79" i="8"/>
  <c r="AC79" i="8" s="1"/>
  <c r="T78" i="8"/>
  <c r="AC78" i="8" s="1"/>
  <c r="T77" i="8"/>
  <c r="T73" i="8"/>
  <c r="T72" i="8"/>
  <c r="T71" i="8"/>
  <c r="T70" i="8"/>
  <c r="T66" i="8"/>
  <c r="T65" i="8"/>
  <c r="T64" i="8"/>
  <c r="T63" i="8"/>
  <c r="T62" i="8"/>
  <c r="T58" i="8"/>
  <c r="T57" i="8"/>
  <c r="T56" i="8"/>
  <c r="T55" i="8"/>
  <c r="T54" i="8"/>
  <c r="AC54" i="8" s="1"/>
  <c r="T53" i="8"/>
  <c r="X87" i="8"/>
  <c r="X86" i="8"/>
  <c r="X85" i="8"/>
  <c r="X82" i="8"/>
  <c r="X79" i="8"/>
  <c r="AG79" i="8" s="1"/>
  <c r="X78" i="8"/>
  <c r="AG78" i="8" s="1"/>
  <c r="X77" i="8"/>
  <c r="X73" i="8"/>
  <c r="X72" i="8"/>
  <c r="X71" i="8"/>
  <c r="X70" i="8"/>
  <c r="X66" i="8"/>
  <c r="X65" i="8"/>
  <c r="X64" i="8"/>
  <c r="X63" i="8"/>
  <c r="X62" i="8"/>
  <c r="X58" i="8"/>
  <c r="X57" i="8"/>
  <c r="X56" i="8"/>
  <c r="X55" i="8"/>
  <c r="X54" i="8"/>
  <c r="AG54" i="8" s="1"/>
  <c r="X53" i="8"/>
  <c r="X38" i="8"/>
  <c r="AJ38" i="8" s="1"/>
  <c r="X37" i="8"/>
  <c r="AJ37" i="8" s="1"/>
  <c r="X34" i="8"/>
  <c r="X30" i="8"/>
  <c r="AG30" i="8" s="1"/>
  <c r="X29" i="8"/>
  <c r="AH29" i="8" s="1"/>
  <c r="X25" i="8"/>
  <c r="AJ25" i="8" s="1"/>
  <c r="X24" i="8"/>
  <c r="AG24" i="8" s="1"/>
  <c r="X23" i="8"/>
  <c r="AH23" i="8" s="1"/>
  <c r="X22" i="8"/>
  <c r="AJ22" i="8" s="1"/>
  <c r="X21" i="8"/>
  <c r="AG21" i="8" s="1"/>
  <c r="X20" i="8"/>
  <c r="AG20" i="8" s="1"/>
  <c r="X19" i="8"/>
  <c r="AG19" i="8" s="1"/>
  <c r="X18" i="8"/>
  <c r="AG18" i="8" s="1"/>
  <c r="X17" i="8"/>
  <c r="AH17" i="8" s="1"/>
  <c r="X13" i="8"/>
  <c r="AI13" i="8" s="1"/>
  <c r="X10" i="8"/>
  <c r="AI10" i="8" s="1"/>
  <c r="T38" i="8"/>
  <c r="AF38" i="8" s="1"/>
  <c r="T37" i="8"/>
  <c r="AF37" i="8" s="1"/>
  <c r="T34" i="8"/>
  <c r="T30" i="8"/>
  <c r="AE30" i="8" s="1"/>
  <c r="T29" i="8"/>
  <c r="AC29" i="8" s="1"/>
  <c r="T25" i="8"/>
  <c r="AD25" i="8" s="1"/>
  <c r="T24" i="8"/>
  <c r="AD24" i="8" s="1"/>
  <c r="T23" i="8"/>
  <c r="AD23" i="8" s="1"/>
  <c r="T22" i="8"/>
  <c r="AD22" i="8" s="1"/>
  <c r="T21" i="8"/>
  <c r="AC21" i="8" s="1"/>
  <c r="T20" i="8"/>
  <c r="AF20" i="8" s="1"/>
  <c r="T19" i="8"/>
  <c r="AD19" i="8" s="1"/>
  <c r="T18" i="8"/>
  <c r="AE18" i="8" s="1"/>
  <c r="T17" i="8"/>
  <c r="AD17" i="8" s="1"/>
  <c r="T13" i="8"/>
  <c r="AD13" i="8" s="1"/>
  <c r="T10" i="8"/>
  <c r="AF10" i="8" s="1"/>
  <c r="P38" i="8"/>
  <c r="P37" i="8"/>
  <c r="P34" i="8"/>
  <c r="P30" i="8"/>
  <c r="P29" i="8"/>
  <c r="P25" i="8"/>
  <c r="P105" i="8" s="1"/>
  <c r="P24" i="8"/>
  <c r="P23" i="8"/>
  <c r="P22" i="8"/>
  <c r="P111" i="8" s="1"/>
  <c r="P21" i="8"/>
  <c r="P109" i="8" s="1"/>
  <c r="P20" i="8"/>
  <c r="P19" i="8"/>
  <c r="P18" i="8"/>
  <c r="P17" i="8"/>
  <c r="P13" i="8"/>
  <c r="P10" i="8"/>
  <c r="P11" i="8" s="1"/>
  <c r="X45" i="8"/>
  <c r="T45" i="8"/>
  <c r="P45" i="8"/>
  <c r="L45" i="8"/>
  <c r="P42" i="8"/>
  <c r="L42" i="8"/>
  <c r="L10" i="8"/>
  <c r="L11" i="8" s="1"/>
  <c r="L13" i="8"/>
  <c r="L25" i="8"/>
  <c r="L105" i="8" s="1"/>
  <c r="L24" i="8"/>
  <c r="L23" i="8"/>
  <c r="L22" i="8"/>
  <c r="L111" i="8" s="1"/>
  <c r="L21" i="8"/>
  <c r="L109" i="8" s="1"/>
  <c r="L20" i="8"/>
  <c r="L19" i="8"/>
  <c r="L18" i="8"/>
  <c r="L17" i="8"/>
  <c r="L30" i="8"/>
  <c r="L29" i="8"/>
  <c r="L34" i="8"/>
  <c r="L37" i="8"/>
  <c r="L38" i="8"/>
  <c r="P8" i="8"/>
  <c r="P50" i="8" s="1"/>
  <c r="L8" i="8"/>
  <c r="L50" i="8" s="1"/>
  <c r="AJ79" i="8"/>
  <c r="AI79" i="8"/>
  <c r="AH79" i="8"/>
  <c r="AF79" i="8"/>
  <c r="AE79" i="8"/>
  <c r="AD79" i="8"/>
  <c r="AJ78" i="8"/>
  <c r="AI78" i="8"/>
  <c r="AH78" i="8"/>
  <c r="AF78" i="8"/>
  <c r="AE78" i="8"/>
  <c r="AD78" i="8"/>
  <c r="AJ54" i="8"/>
  <c r="AI54" i="8"/>
  <c r="AH54" i="8"/>
  <c r="AF54" i="8"/>
  <c r="AE54" i="8"/>
  <c r="AD54" i="8"/>
  <c r="AC20" i="8"/>
  <c r="AJ47" i="10"/>
  <c r="AI47" i="10"/>
  <c r="AH47" i="10"/>
  <c r="AG47" i="10"/>
  <c r="AF47" i="10"/>
  <c r="AE47" i="10"/>
  <c r="AD47" i="10"/>
  <c r="AC47" i="10"/>
  <c r="AJ46" i="10"/>
  <c r="AI46" i="10"/>
  <c r="AH46" i="10"/>
  <c r="AG46" i="10"/>
  <c r="AF46" i="10"/>
  <c r="AE46" i="10"/>
  <c r="AD46" i="10"/>
  <c r="AC46" i="10"/>
  <c r="AJ45" i="10"/>
  <c r="AI45" i="10"/>
  <c r="AH45" i="10"/>
  <c r="AG45" i="10"/>
  <c r="AF45" i="10"/>
  <c r="AE45" i="10"/>
  <c r="AD45" i="10"/>
  <c r="AC45" i="10"/>
  <c r="AJ44" i="10"/>
  <c r="AI44" i="10"/>
  <c r="AH44" i="10"/>
  <c r="AG44" i="10"/>
  <c r="AF44" i="10"/>
  <c r="AE44" i="10"/>
  <c r="AD44" i="10"/>
  <c r="AC44" i="10"/>
  <c r="AJ33" i="10"/>
  <c r="AI33" i="10"/>
  <c r="AH33" i="10"/>
  <c r="AG33" i="10"/>
  <c r="AF33" i="10"/>
  <c r="AE33" i="10"/>
  <c r="AD33" i="10"/>
  <c r="AC33" i="10"/>
  <c r="AJ32" i="10"/>
  <c r="AI32" i="10"/>
  <c r="AH32" i="10"/>
  <c r="AG32" i="10"/>
  <c r="AF32" i="10"/>
  <c r="AE32" i="10"/>
  <c r="AD32" i="10"/>
  <c r="AC32" i="10"/>
  <c r="AJ31" i="10"/>
  <c r="AI31" i="10"/>
  <c r="AH31" i="10"/>
  <c r="AG31" i="10"/>
  <c r="AF31" i="10"/>
  <c r="AE31" i="10"/>
  <c r="AD31" i="10"/>
  <c r="AC31" i="10"/>
  <c r="AJ30" i="10"/>
  <c r="AI30" i="10"/>
  <c r="AH30" i="10"/>
  <c r="AH34" i="10" s="1"/>
  <c r="AG30" i="10"/>
  <c r="AG34" i="10" s="1"/>
  <c r="AF30" i="10"/>
  <c r="AF34" i="10" s="1"/>
  <c r="AE30" i="10"/>
  <c r="AD30" i="10"/>
  <c r="AD34" i="10" s="1"/>
  <c r="AC30" i="10"/>
  <c r="AC34" i="10" s="1"/>
  <c r="AJ22" i="10"/>
  <c r="AI22" i="10"/>
  <c r="AH22" i="10"/>
  <c r="AG22" i="10"/>
  <c r="AF22" i="10"/>
  <c r="AE22" i="10"/>
  <c r="AD22" i="10"/>
  <c r="AC22" i="10"/>
  <c r="AJ21" i="10"/>
  <c r="AI21" i="10"/>
  <c r="AH21" i="10"/>
  <c r="AG21" i="10"/>
  <c r="AF21" i="10"/>
  <c r="AE21" i="10"/>
  <c r="AD21" i="10"/>
  <c r="AC21" i="10"/>
  <c r="AJ20" i="10"/>
  <c r="AI20" i="10"/>
  <c r="AH20" i="10"/>
  <c r="AG20" i="10"/>
  <c r="AF20" i="10"/>
  <c r="AE20" i="10"/>
  <c r="AD20" i="10"/>
  <c r="AC20" i="10"/>
  <c r="AI11" i="10"/>
  <c r="AH11" i="10"/>
  <c r="AG11" i="10"/>
  <c r="AF11" i="10"/>
  <c r="AE11" i="10"/>
  <c r="AD11" i="10"/>
  <c r="AC11" i="10"/>
  <c r="AJ10" i="10"/>
  <c r="J48" i="10"/>
  <c r="I48" i="10"/>
  <c r="J34" i="10"/>
  <c r="I34" i="10"/>
  <c r="I10" i="10" s="1"/>
  <c r="J23" i="10"/>
  <c r="J9" i="10" s="1"/>
  <c r="I23" i="10"/>
  <c r="I9" i="10" s="1"/>
  <c r="J10" i="10"/>
  <c r="J4" i="10"/>
  <c r="I4" i="10"/>
  <c r="J3" i="10"/>
  <c r="I3" i="10"/>
  <c r="P48" i="10"/>
  <c r="O48" i="10"/>
  <c r="N48" i="10"/>
  <c r="M48" i="10"/>
  <c r="L48" i="10"/>
  <c r="K48" i="10"/>
  <c r="P34" i="10"/>
  <c r="P10" i="10" s="1"/>
  <c r="O34" i="10"/>
  <c r="O10" i="10" s="1"/>
  <c r="N34" i="10"/>
  <c r="N10" i="10" s="1"/>
  <c r="M34" i="10"/>
  <c r="M10" i="10" s="1"/>
  <c r="L34" i="10"/>
  <c r="L10" i="10" s="1"/>
  <c r="K34" i="10"/>
  <c r="K10" i="10" s="1"/>
  <c r="P23" i="10"/>
  <c r="P9" i="10" s="1"/>
  <c r="O23" i="10"/>
  <c r="O9" i="10" s="1"/>
  <c r="N23" i="10"/>
  <c r="N9" i="10" s="1"/>
  <c r="M23" i="10"/>
  <c r="M9" i="10" s="1"/>
  <c r="L23" i="10"/>
  <c r="L9" i="10" s="1"/>
  <c r="K23" i="10"/>
  <c r="K9" i="10" s="1"/>
  <c r="O4" i="10"/>
  <c r="N4" i="10"/>
  <c r="M4" i="10"/>
  <c r="K4" i="10"/>
  <c r="P3" i="10"/>
  <c r="O3" i="10"/>
  <c r="N3" i="10"/>
  <c r="M3" i="10"/>
  <c r="L3" i="10"/>
  <c r="K3" i="10"/>
  <c r="K151" i="8"/>
  <c r="J151" i="8"/>
  <c r="K131" i="8"/>
  <c r="J131" i="8"/>
  <c r="K99" i="8"/>
  <c r="J99" i="8"/>
  <c r="L98" i="8"/>
  <c r="K98" i="8"/>
  <c r="J98" i="8"/>
  <c r="K88" i="8"/>
  <c r="K91" i="8" s="1"/>
  <c r="J88" i="8"/>
  <c r="J91" i="8" s="1"/>
  <c r="K74" i="8"/>
  <c r="K80" i="8" s="1"/>
  <c r="J74" i="8"/>
  <c r="J80" i="8" s="1"/>
  <c r="K59" i="8"/>
  <c r="K67" i="8" s="1"/>
  <c r="J59" i="8"/>
  <c r="J67" i="8" s="1"/>
  <c r="K50" i="8"/>
  <c r="J50" i="8"/>
  <c r="L49" i="8"/>
  <c r="K49" i="8"/>
  <c r="J49" i="8"/>
  <c r="K11" i="8"/>
  <c r="K14" i="8" s="1"/>
  <c r="J11" i="8"/>
  <c r="J14" i="8" s="1"/>
  <c r="J26" i="8" s="1"/>
  <c r="O151" i="8"/>
  <c r="N151" i="8"/>
  <c r="M151" i="8"/>
  <c r="I151" i="8"/>
  <c r="O131" i="8"/>
  <c r="N131" i="8"/>
  <c r="M131" i="8"/>
  <c r="I131" i="8"/>
  <c r="O99" i="8"/>
  <c r="N99" i="8"/>
  <c r="M99" i="8"/>
  <c r="I99" i="8"/>
  <c r="O98" i="8"/>
  <c r="N98" i="8"/>
  <c r="M98" i="8"/>
  <c r="I98" i="8"/>
  <c r="O88" i="8"/>
  <c r="O91" i="8" s="1"/>
  <c r="N88" i="8"/>
  <c r="N91" i="8" s="1"/>
  <c r="M88" i="8"/>
  <c r="M91" i="8" s="1"/>
  <c r="I88" i="8"/>
  <c r="I91" i="8" s="1"/>
  <c r="O74" i="8"/>
  <c r="O80" i="8" s="1"/>
  <c r="N74" i="8"/>
  <c r="N80" i="8" s="1"/>
  <c r="M74" i="8"/>
  <c r="M80" i="8" s="1"/>
  <c r="I74" i="8"/>
  <c r="I80" i="8" s="1"/>
  <c r="O59" i="8"/>
  <c r="O67" i="8" s="1"/>
  <c r="N59" i="8"/>
  <c r="N67" i="8" s="1"/>
  <c r="M59" i="8"/>
  <c r="M67" i="8" s="1"/>
  <c r="I59" i="8"/>
  <c r="I67" i="8" s="1"/>
  <c r="O50" i="8"/>
  <c r="N50" i="8"/>
  <c r="M50" i="8"/>
  <c r="I50" i="8"/>
  <c r="O49" i="8"/>
  <c r="N49" i="8"/>
  <c r="M49" i="8"/>
  <c r="I49" i="8"/>
  <c r="O11" i="8"/>
  <c r="O14" i="8" s="1"/>
  <c r="N11" i="8"/>
  <c r="N14" i="8" s="1"/>
  <c r="N26" i="8" s="1"/>
  <c r="M11" i="8"/>
  <c r="M14" i="8" s="1"/>
  <c r="I11" i="8"/>
  <c r="I14" i="8" s="1"/>
  <c r="I26" i="8" s="1"/>
  <c r="P98" i="8"/>
  <c r="P49" i="8"/>
  <c r="B39" i="10"/>
  <c r="B38" i="10"/>
  <c r="B37" i="10"/>
  <c r="B36" i="10"/>
  <c r="AA34" i="10"/>
  <c r="AA10" i="10" s="1"/>
  <c r="Z34" i="10"/>
  <c r="Z10" i="10" s="1"/>
  <c r="Y34" i="10"/>
  <c r="Y10" i="10" s="1"/>
  <c r="X34" i="10"/>
  <c r="X10" i="10" s="1"/>
  <c r="W34" i="10"/>
  <c r="W10" i="10" s="1"/>
  <c r="AI10" i="10" s="1"/>
  <c r="V34" i="10"/>
  <c r="V10" i="10" s="1"/>
  <c r="U34" i="10"/>
  <c r="U10" i="10" s="1"/>
  <c r="AG10" i="10" s="1"/>
  <c r="T34" i="10"/>
  <c r="T10" i="10" s="1"/>
  <c r="AF10" i="10" s="1"/>
  <c r="S34" i="10"/>
  <c r="S10" i="10" s="1"/>
  <c r="R34" i="10"/>
  <c r="R10" i="10" s="1"/>
  <c r="Q34" i="10"/>
  <c r="Q10" i="10" s="1"/>
  <c r="G34" i="10"/>
  <c r="G10" i="10" s="1"/>
  <c r="F34" i="10"/>
  <c r="F10" i="10" s="1"/>
  <c r="E34" i="10"/>
  <c r="E10" i="10" s="1"/>
  <c r="D34" i="10"/>
  <c r="D10" i="10" s="1"/>
  <c r="C34" i="10"/>
  <c r="C10" i="10" s="1"/>
  <c r="AI34" i="10"/>
  <c r="D48" i="10"/>
  <c r="C48" i="10"/>
  <c r="D23" i="10"/>
  <c r="D9" i="10" s="1"/>
  <c r="C23" i="10"/>
  <c r="C9" i="10" s="1"/>
  <c r="D4" i="10"/>
  <c r="C4" i="10"/>
  <c r="D3" i="10"/>
  <c r="C3" i="10"/>
  <c r="C155" i="8"/>
  <c r="D151" i="8"/>
  <c r="D131" i="8"/>
  <c r="C131" i="8"/>
  <c r="D99" i="8"/>
  <c r="C99" i="8"/>
  <c r="D98" i="8"/>
  <c r="C98" i="8"/>
  <c r="D88" i="8"/>
  <c r="D91" i="8" s="1"/>
  <c r="D74" i="8"/>
  <c r="D80" i="8" s="1"/>
  <c r="C74" i="8"/>
  <c r="C80" i="8" s="1"/>
  <c r="D59" i="8"/>
  <c r="D67" i="8" s="1"/>
  <c r="C59" i="8"/>
  <c r="C67" i="8" s="1"/>
  <c r="D50" i="8"/>
  <c r="C50" i="8"/>
  <c r="D49" i="8"/>
  <c r="C49" i="8"/>
  <c r="D11" i="8"/>
  <c r="D14" i="8" s="1"/>
  <c r="D26" i="8" s="1"/>
  <c r="D31" i="8" s="1"/>
  <c r="C11" i="8"/>
  <c r="C14" i="8" s="1"/>
  <c r="B53" i="10"/>
  <c r="B52" i="10"/>
  <c r="B51" i="10"/>
  <c r="AG140" i="8" l="1"/>
  <c r="AG141" i="8"/>
  <c r="AG148" i="8"/>
  <c r="AH140" i="8"/>
  <c r="AI140" i="8"/>
  <c r="AI141" i="8"/>
  <c r="AC140" i="8"/>
  <c r="AC141" i="8"/>
  <c r="AC148" i="8"/>
  <c r="AE140" i="8"/>
  <c r="AE141" i="8"/>
  <c r="AE148" i="8"/>
  <c r="AH139" i="8"/>
  <c r="I155" i="8"/>
  <c r="AE136" i="8"/>
  <c r="AE142" i="8"/>
  <c r="AH136" i="8"/>
  <c r="AE143" i="8"/>
  <c r="AE137" i="8"/>
  <c r="AH143" i="8"/>
  <c r="AH137" i="8"/>
  <c r="AH144" i="8"/>
  <c r="AE138" i="8"/>
  <c r="AH138" i="8"/>
  <c r="AE149" i="8"/>
  <c r="AE139" i="8"/>
  <c r="AH149" i="8"/>
  <c r="AE144" i="8"/>
  <c r="AF136" i="8"/>
  <c r="AL136" i="8" s="1"/>
  <c r="AF137" i="8"/>
  <c r="AL137" i="8" s="1"/>
  <c r="AF138" i="8"/>
  <c r="AL138" i="8" s="1"/>
  <c r="AF139" i="8"/>
  <c r="AL139" i="8" s="1"/>
  <c r="AF142" i="8"/>
  <c r="AL142" i="8" s="1"/>
  <c r="AF143" i="8"/>
  <c r="AL143" i="8" s="1"/>
  <c r="AF144" i="8"/>
  <c r="AL144" i="8" s="1"/>
  <c r="AL148" i="8"/>
  <c r="AF149" i="8"/>
  <c r="AL149" i="8" s="1"/>
  <c r="X109" i="8"/>
  <c r="AI109" i="8" s="1"/>
  <c r="AG136" i="8"/>
  <c r="AG137" i="8"/>
  <c r="AG138" i="8"/>
  <c r="AG139" i="8"/>
  <c r="AG142" i="8"/>
  <c r="AG143" i="8"/>
  <c r="AG144" i="8"/>
  <c r="AG149" i="8"/>
  <c r="X105" i="8"/>
  <c r="T111" i="8"/>
  <c r="AF111" i="8" s="1"/>
  <c r="AH142" i="8"/>
  <c r="AI136" i="8"/>
  <c r="AI137" i="8"/>
  <c r="AI138" i="8"/>
  <c r="AI139" i="8"/>
  <c r="AI142" i="8"/>
  <c r="AI143" i="8"/>
  <c r="AI144" i="8"/>
  <c r="AI149" i="8"/>
  <c r="T109" i="8"/>
  <c r="AC109" i="8" s="1"/>
  <c r="AC136" i="8"/>
  <c r="AC137" i="8"/>
  <c r="AC138" i="8"/>
  <c r="AC139" i="8"/>
  <c r="AC142" i="8"/>
  <c r="AC143" i="8"/>
  <c r="AC144" i="8"/>
  <c r="AC149" i="8"/>
  <c r="T105" i="8"/>
  <c r="X111" i="8"/>
  <c r="AI111" i="8" s="1"/>
  <c r="AD110" i="8"/>
  <c r="AL110" i="8"/>
  <c r="AH110" i="8"/>
  <c r="AC110" i="8"/>
  <c r="AE110" i="8"/>
  <c r="AG110" i="8"/>
  <c r="AI110" i="8"/>
  <c r="AF30" i="8"/>
  <c r="AI129" i="8"/>
  <c r="AG129" i="8"/>
  <c r="AL128" i="8"/>
  <c r="AC128" i="8"/>
  <c r="AF129" i="8"/>
  <c r="AL129" i="8" s="1"/>
  <c r="AD128" i="8"/>
  <c r="AE128" i="8"/>
  <c r="AH129" i="8"/>
  <c r="AG128" i="8"/>
  <c r="AH128" i="8"/>
  <c r="AC129" i="8"/>
  <c r="AI128" i="8"/>
  <c r="AD129" i="8"/>
  <c r="AI125" i="8"/>
  <c r="AD126" i="8"/>
  <c r="AE126" i="8"/>
  <c r="AC125" i="8"/>
  <c r="AF126" i="8"/>
  <c r="AL126" i="8" s="1"/>
  <c r="AD125" i="8"/>
  <c r="AG126" i="8"/>
  <c r="AJ125" i="8"/>
  <c r="AL125" i="8" s="1"/>
  <c r="AE125" i="8"/>
  <c r="AH126" i="8"/>
  <c r="AI126" i="8"/>
  <c r="AG125" i="8"/>
  <c r="AG113" i="8"/>
  <c r="AI113" i="8"/>
  <c r="AE109" i="8"/>
  <c r="AH24" i="8"/>
  <c r="AD114" i="8"/>
  <c r="AJ111" i="8"/>
  <c r="AG114" i="8"/>
  <c r="AJ113" i="8"/>
  <c r="AL113" i="8" s="1"/>
  <c r="AE114" i="8"/>
  <c r="AC113" i="8"/>
  <c r="AF114" i="8"/>
  <c r="AL114" i="8" s="1"/>
  <c r="AE113" i="8"/>
  <c r="AH114" i="8"/>
  <c r="AD113" i="8"/>
  <c r="AI114" i="8"/>
  <c r="AD20" i="8"/>
  <c r="AE20" i="8"/>
  <c r="AH20" i="8"/>
  <c r="AI20" i="8"/>
  <c r="AJ20" i="8"/>
  <c r="AL20" i="8" s="1"/>
  <c r="AE24" i="8"/>
  <c r="AC112" i="8"/>
  <c r="AD109" i="8"/>
  <c r="AE112" i="8"/>
  <c r="AL112" i="8"/>
  <c r="AF109" i="8"/>
  <c r="AD112" i="8"/>
  <c r="AG112" i="8"/>
  <c r="AH112" i="8"/>
  <c r="AI112" i="8"/>
  <c r="AC30" i="8"/>
  <c r="AG117" i="8"/>
  <c r="AI117" i="8"/>
  <c r="AF116" i="8"/>
  <c r="AL116" i="8" s="1"/>
  <c r="AI116" i="8"/>
  <c r="O92" i="8"/>
  <c r="O94" i="8" s="1"/>
  <c r="J92" i="8"/>
  <c r="J94" i="8" s="1"/>
  <c r="AD118" i="8"/>
  <c r="AG118" i="8"/>
  <c r="AG116" i="8"/>
  <c r="AJ117" i="8"/>
  <c r="AL117" i="8" s="1"/>
  <c r="AE118" i="8"/>
  <c r="AH116" i="8"/>
  <c r="AC117" i="8"/>
  <c r="AF118" i="8"/>
  <c r="AL118" i="8" s="1"/>
  <c r="AD117" i="8"/>
  <c r="AE117" i="8"/>
  <c r="AH118" i="8"/>
  <c r="AC116" i="8"/>
  <c r="AI118" i="8"/>
  <c r="AD116" i="8"/>
  <c r="AI24" i="8"/>
  <c r="D92" i="8"/>
  <c r="D94" i="8" s="1"/>
  <c r="AJ24" i="8"/>
  <c r="C92" i="8"/>
  <c r="C94" i="8" s="1"/>
  <c r="K92" i="8"/>
  <c r="K94" i="8" s="1"/>
  <c r="M92" i="8"/>
  <c r="M94" i="8" s="1"/>
  <c r="AH19" i="8"/>
  <c r="AJ23" i="8"/>
  <c r="AC24" i="8"/>
  <c r="AF24" i="8"/>
  <c r="AD30" i="8"/>
  <c r="AL79" i="8"/>
  <c r="AI17" i="8"/>
  <c r="N92" i="8"/>
  <c r="N94" i="8" s="1"/>
  <c r="AE19" i="8"/>
  <c r="I92" i="8"/>
  <c r="I94" i="8" s="1"/>
  <c r="AF19" i="8"/>
  <c r="AI19" i="8"/>
  <c r="AL90" i="8"/>
  <c r="AI21" i="8"/>
  <c r="AC19" i="8"/>
  <c r="AG22" i="8"/>
  <c r="AJ19" i="8"/>
  <c r="AF23" i="8"/>
  <c r="AG23" i="8"/>
  <c r="L4" i="10"/>
  <c r="AI23" i="8"/>
  <c r="L99" i="8"/>
  <c r="AC18" i="8"/>
  <c r="AL83" i="8"/>
  <c r="AF18" i="8"/>
  <c r="L74" i="8"/>
  <c r="L80" i="8" s="1"/>
  <c r="L131" i="8"/>
  <c r="AF29" i="8"/>
  <c r="AE23" i="8"/>
  <c r="P151" i="8"/>
  <c r="AL84" i="8"/>
  <c r="AH22" i="8"/>
  <c r="AC38" i="8"/>
  <c r="AI22" i="8"/>
  <c r="L59" i="8"/>
  <c r="L67" i="8" s="1"/>
  <c r="L151" i="8"/>
  <c r="P131" i="8"/>
  <c r="AD21" i="8"/>
  <c r="AE21" i="8"/>
  <c r="AD18" i="8"/>
  <c r="AF21" i="8"/>
  <c r="AC23" i="8"/>
  <c r="AC25" i="8"/>
  <c r="L88" i="8"/>
  <c r="L91" i="8" s="1"/>
  <c r="AI29" i="8"/>
  <c r="AH21" i="8"/>
  <c r="AE25" i="8"/>
  <c r="P88" i="8"/>
  <c r="P91" i="8" s="1"/>
  <c r="AE29" i="8"/>
  <c r="AH18" i="8"/>
  <c r="AJ21" i="8"/>
  <c r="AI25" i="8"/>
  <c r="P74" i="8"/>
  <c r="P80" i="8" s="1"/>
  <c r="AF25" i="8"/>
  <c r="AD29" i="8"/>
  <c r="AC17" i="8"/>
  <c r="AI18" i="8"/>
  <c r="AE17" i="8"/>
  <c r="AJ18" i="8"/>
  <c r="AH38" i="8"/>
  <c r="AG37" i="8"/>
  <c r="AI37" i="8"/>
  <c r="P59" i="8"/>
  <c r="P67" i="8" s="1"/>
  <c r="AG38" i="8"/>
  <c r="AI38" i="8"/>
  <c r="AH37" i="8"/>
  <c r="AG29" i="8"/>
  <c r="AI30" i="8"/>
  <c r="AH30" i="8"/>
  <c r="AJ17" i="8"/>
  <c r="AG25" i="8"/>
  <c r="AH25" i="8"/>
  <c r="AG17" i="8"/>
  <c r="AG13" i="8"/>
  <c r="AH13" i="8"/>
  <c r="AG10" i="8"/>
  <c r="AH10" i="8"/>
  <c r="AC37" i="8"/>
  <c r="AD38" i="8"/>
  <c r="AD37" i="8"/>
  <c r="AE38" i="8"/>
  <c r="AE37" i="8"/>
  <c r="AE22" i="8"/>
  <c r="AF17" i="8"/>
  <c r="AF22" i="8"/>
  <c r="AL22" i="8" s="1"/>
  <c r="AC22" i="8"/>
  <c r="AC13" i="8"/>
  <c r="AE13" i="8"/>
  <c r="AF13" i="8"/>
  <c r="AC10" i="8"/>
  <c r="AD10" i="8"/>
  <c r="AE10" i="8"/>
  <c r="P14" i="8"/>
  <c r="P15" i="8" s="1"/>
  <c r="L14" i="8"/>
  <c r="L26" i="8" s="1"/>
  <c r="P99" i="8"/>
  <c r="P4" i="10"/>
  <c r="AL78" i="8"/>
  <c r="AL54" i="8"/>
  <c r="AL37" i="8"/>
  <c r="AL38" i="8"/>
  <c r="K15" i="8"/>
  <c r="K26" i="8"/>
  <c r="K31" i="8" s="1"/>
  <c r="K35" i="8" s="1"/>
  <c r="K39" i="8" s="1"/>
  <c r="AD10" i="10"/>
  <c r="AH10" i="10"/>
  <c r="AC10" i="10"/>
  <c r="AE10" i="10"/>
  <c r="I12" i="10"/>
  <c r="J12" i="10"/>
  <c r="J15" i="10" s="1"/>
  <c r="L12" i="10"/>
  <c r="L52" i="10" s="1"/>
  <c r="L51" i="10"/>
  <c r="N12" i="10"/>
  <c r="N16" i="10" s="1"/>
  <c r="K12" i="10"/>
  <c r="K16" i="10" s="1"/>
  <c r="M12" i="10"/>
  <c r="M15" i="10" s="1"/>
  <c r="O12" i="10"/>
  <c r="O15" i="10" s="1"/>
  <c r="P12" i="10"/>
  <c r="AJ34" i="10"/>
  <c r="J31" i="8"/>
  <c r="J27" i="8"/>
  <c r="J15" i="8"/>
  <c r="O26" i="8"/>
  <c r="O15" i="8"/>
  <c r="I31" i="8"/>
  <c r="I27" i="8"/>
  <c r="M26" i="8"/>
  <c r="M15" i="8"/>
  <c r="N27" i="8"/>
  <c r="N31" i="8"/>
  <c r="I15" i="8"/>
  <c r="N15" i="8"/>
  <c r="D15" i="8"/>
  <c r="AE34" i="10"/>
  <c r="D12" i="10"/>
  <c r="C12" i="10"/>
  <c r="C15" i="8"/>
  <c r="C26" i="8"/>
  <c r="D35" i="8"/>
  <c r="D39" i="8" s="1"/>
  <c r="D46" i="8" s="1"/>
  <c r="D32" i="8"/>
  <c r="D27" i="8"/>
  <c r="AH109" i="8" l="1"/>
  <c r="AG109" i="8"/>
  <c r="AJ109" i="8"/>
  <c r="AL109" i="8" s="1"/>
  <c r="AG111" i="8"/>
  <c r="AD111" i="8"/>
  <c r="AE111" i="8"/>
  <c r="AC111" i="8"/>
  <c r="AH111" i="8"/>
  <c r="AL111" i="8"/>
  <c r="AL23" i="8"/>
  <c r="AL19" i="8"/>
  <c r="P92" i="8"/>
  <c r="P94" i="8" s="1"/>
  <c r="L92" i="8"/>
  <c r="L94" i="8" s="1"/>
  <c r="AL21" i="8"/>
  <c r="AL18" i="8"/>
  <c r="P26" i="8"/>
  <c r="P27" i="8" s="1"/>
  <c r="L15" i="8"/>
  <c r="K40" i="8"/>
  <c r="K46" i="8"/>
  <c r="K43" i="8"/>
  <c r="D40" i="8"/>
  <c r="D43" i="8"/>
  <c r="K27" i="8"/>
  <c r="K32" i="8"/>
  <c r="L13" i="10"/>
  <c r="L17" i="10"/>
  <c r="L25" i="10"/>
  <c r="L16" i="10"/>
  <c r="L27" i="10"/>
  <c r="L37" i="10"/>
  <c r="L50" i="10"/>
  <c r="L38" i="10"/>
  <c r="L36" i="10"/>
  <c r="K15" i="10"/>
  <c r="L53" i="10"/>
  <c r="L39" i="10"/>
  <c r="L15" i="10"/>
  <c r="L26" i="10"/>
  <c r="J38" i="10"/>
  <c r="J17" i="10"/>
  <c r="J52" i="10"/>
  <c r="J13" i="10"/>
  <c r="J37" i="10"/>
  <c r="J50" i="10"/>
  <c r="J26" i="10"/>
  <c r="J25" i="10"/>
  <c r="J51" i="10"/>
  <c r="J27" i="10"/>
  <c r="J39" i="10"/>
  <c r="J53" i="10"/>
  <c r="J36" i="10"/>
  <c r="J16" i="10"/>
  <c r="I50" i="10"/>
  <c r="I26" i="10"/>
  <c r="I38" i="10"/>
  <c r="I17" i="10"/>
  <c r="I25" i="10"/>
  <c r="I15" i="10"/>
  <c r="I52" i="10"/>
  <c r="I13" i="10"/>
  <c r="I37" i="10"/>
  <c r="I51" i="10"/>
  <c r="I27" i="10"/>
  <c r="I39" i="10"/>
  <c r="I53" i="10"/>
  <c r="I36" i="10"/>
  <c r="I16" i="10"/>
  <c r="O16" i="10"/>
  <c r="P53" i="10"/>
  <c r="P36" i="10"/>
  <c r="P25" i="10"/>
  <c r="P50" i="10"/>
  <c r="P37" i="10"/>
  <c r="P26" i="10"/>
  <c r="P51" i="10"/>
  <c r="P38" i="10"/>
  <c r="P27" i="10"/>
  <c r="P17" i="10"/>
  <c r="P52" i="10"/>
  <c r="P39" i="10"/>
  <c r="P13" i="10"/>
  <c r="N52" i="10"/>
  <c r="N39" i="10"/>
  <c r="N13" i="10"/>
  <c r="N53" i="10"/>
  <c r="N36" i="10"/>
  <c r="N25" i="10"/>
  <c r="N50" i="10"/>
  <c r="N37" i="10"/>
  <c r="N26" i="10"/>
  <c r="N51" i="10"/>
  <c r="N38" i="10"/>
  <c r="N27" i="10"/>
  <c r="N17" i="10"/>
  <c r="N15" i="10"/>
  <c r="P15" i="10"/>
  <c r="K51" i="10"/>
  <c r="K38" i="10"/>
  <c r="K27" i="10"/>
  <c r="K17" i="10"/>
  <c r="K52" i="10"/>
  <c r="K39" i="10"/>
  <c r="K13" i="10"/>
  <c r="K53" i="10"/>
  <c r="K36" i="10"/>
  <c r="K25" i="10"/>
  <c r="K50" i="10"/>
  <c r="K37" i="10"/>
  <c r="K26" i="10"/>
  <c r="O53" i="10"/>
  <c r="O36" i="10"/>
  <c r="O25" i="10"/>
  <c r="O50" i="10"/>
  <c r="O37" i="10"/>
  <c r="O26" i="10"/>
  <c r="O51" i="10"/>
  <c r="O38" i="10"/>
  <c r="O27" i="10"/>
  <c r="O17" i="10"/>
  <c r="O52" i="10"/>
  <c r="O39" i="10"/>
  <c r="O13" i="10"/>
  <c r="M52" i="10"/>
  <c r="M39" i="10"/>
  <c r="M13" i="10"/>
  <c r="M53" i="10"/>
  <c r="M36" i="10"/>
  <c r="M25" i="10"/>
  <c r="M50" i="10"/>
  <c r="M37" i="10"/>
  <c r="M26" i="10"/>
  <c r="M51" i="10"/>
  <c r="M38" i="10"/>
  <c r="M27" i="10"/>
  <c r="M17" i="10"/>
  <c r="M16" i="10"/>
  <c r="P16" i="10"/>
  <c r="J35" i="8"/>
  <c r="J39" i="8" s="1"/>
  <c r="J32" i="8"/>
  <c r="K102" i="8"/>
  <c r="K120" i="8" s="1"/>
  <c r="K159" i="8" s="1"/>
  <c r="L31" i="8"/>
  <c r="L27" i="8"/>
  <c r="N35" i="8"/>
  <c r="N39" i="8" s="1"/>
  <c r="N32" i="8"/>
  <c r="M31" i="8"/>
  <c r="M27" i="8"/>
  <c r="I35" i="8"/>
  <c r="I39" i="8" s="1"/>
  <c r="I32" i="8"/>
  <c r="O31" i="8"/>
  <c r="O27" i="8"/>
  <c r="C38" i="10"/>
  <c r="C37" i="10"/>
  <c r="C36" i="10"/>
  <c r="C39" i="10"/>
  <c r="D37" i="10"/>
  <c r="D36" i="10"/>
  <c r="D39" i="10"/>
  <c r="D38" i="10"/>
  <c r="C51" i="10"/>
  <c r="C17" i="10"/>
  <c r="C26" i="10"/>
  <c r="C50" i="10"/>
  <c r="C53" i="10"/>
  <c r="C25" i="10"/>
  <c r="C15" i="10"/>
  <c r="C52" i="10"/>
  <c r="C27" i="10"/>
  <c r="C13" i="10"/>
  <c r="D51" i="10"/>
  <c r="D17" i="10"/>
  <c r="D52" i="10"/>
  <c r="D27" i="10"/>
  <c r="D13" i="10"/>
  <c r="D53" i="10"/>
  <c r="D25" i="10"/>
  <c r="D15" i="10"/>
  <c r="D50" i="10"/>
  <c r="D26" i="10"/>
  <c r="C16" i="10"/>
  <c r="D16" i="10"/>
  <c r="D102" i="8"/>
  <c r="D120" i="8" s="1"/>
  <c r="D159" i="8" s="1"/>
  <c r="C31" i="8"/>
  <c r="C27" i="8"/>
  <c r="P31" i="8" l="1"/>
  <c r="P35" i="8" s="1"/>
  <c r="P39" i="8" s="1"/>
  <c r="N40" i="8"/>
  <c r="N46" i="8"/>
  <c r="N43" i="8"/>
  <c r="I40" i="8"/>
  <c r="I46" i="8"/>
  <c r="I43" i="8"/>
  <c r="J40" i="8"/>
  <c r="J46" i="8"/>
  <c r="J43" i="8"/>
  <c r="J102" i="8"/>
  <c r="J120" i="8" s="1"/>
  <c r="J159" i="8" s="1"/>
  <c r="L35" i="8"/>
  <c r="L39" i="8" s="1"/>
  <c r="L32" i="8"/>
  <c r="M35" i="8"/>
  <c r="M39" i="8" s="1"/>
  <c r="M32" i="8"/>
  <c r="O35" i="8"/>
  <c r="O39" i="8" s="1"/>
  <c r="O32" i="8"/>
  <c r="I102" i="8"/>
  <c r="I120" i="8" s="1"/>
  <c r="I159" i="8" s="1"/>
  <c r="I160" i="8" s="1"/>
  <c r="N102" i="8"/>
  <c r="N120" i="8" s="1"/>
  <c r="N159" i="8" s="1"/>
  <c r="C32" i="8"/>
  <c r="C35" i="8"/>
  <c r="C39" i="8" s="1"/>
  <c r="C46" i="8" s="1"/>
  <c r="J153" i="8" l="1"/>
  <c r="J155" i="8" s="1"/>
  <c r="J160" i="8"/>
  <c r="K153" i="8" s="1"/>
  <c r="K155" i="8" s="1"/>
  <c r="K160" i="8" s="1"/>
  <c r="P32" i="8"/>
  <c r="O40" i="8"/>
  <c r="O46" i="8"/>
  <c r="O43" i="8"/>
  <c r="M40" i="8"/>
  <c r="M46" i="8"/>
  <c r="M43" i="8"/>
  <c r="P40" i="8"/>
  <c r="P46" i="8"/>
  <c r="P43" i="8"/>
  <c r="L40" i="8"/>
  <c r="L46" i="8"/>
  <c r="L43" i="8"/>
  <c r="C40" i="8"/>
  <c r="C43" i="8"/>
  <c r="L102" i="8"/>
  <c r="L120" i="8" s="1"/>
  <c r="L159" i="8" s="1"/>
  <c r="O102" i="8"/>
  <c r="O120" i="8" s="1"/>
  <c r="O159" i="8" s="1"/>
  <c r="M102" i="8"/>
  <c r="M120" i="8" s="1"/>
  <c r="M159" i="8" s="1"/>
  <c r="P102" i="8"/>
  <c r="P120" i="8" s="1"/>
  <c r="P159" i="8" s="1"/>
  <c r="C102" i="8"/>
  <c r="C120" i="8" s="1"/>
  <c r="C159" i="8" s="1"/>
  <c r="C160" i="8" s="1"/>
  <c r="L153" i="8" l="1"/>
  <c r="L155" i="8" s="1"/>
  <c r="L160" i="8" s="1"/>
  <c r="L162" i="8" s="1"/>
  <c r="D153" i="8"/>
  <c r="D155" i="8" s="1"/>
  <c r="D160" i="8" s="1"/>
  <c r="B50" i="10"/>
  <c r="AA48" i="10"/>
  <c r="Z48" i="10"/>
  <c r="Y48" i="10"/>
  <c r="X48" i="10"/>
  <c r="W48" i="10"/>
  <c r="V48" i="10"/>
  <c r="U48" i="10"/>
  <c r="T48" i="10"/>
  <c r="S48" i="10"/>
  <c r="R48" i="10"/>
  <c r="Q48" i="10"/>
  <c r="G48" i="10"/>
  <c r="F48" i="10"/>
  <c r="E48" i="10"/>
  <c r="AI48" i="10"/>
  <c r="AH48" i="10"/>
  <c r="AF48" i="10"/>
  <c r="AC48" i="10"/>
  <c r="M153" i="8" l="1"/>
  <c r="M155" i="8" s="1"/>
  <c r="M160" i="8" s="1"/>
  <c r="M162" i="8" s="1"/>
  <c r="E153" i="8"/>
  <c r="AJ48" i="10"/>
  <c r="AE48" i="10"/>
  <c r="AD48" i="10"/>
  <c r="AG48" i="10"/>
  <c r="N153" i="8" l="1"/>
  <c r="N155" i="8" s="1"/>
  <c r="N160" i="8" s="1"/>
  <c r="N162" i="8" s="1"/>
  <c r="AJ11" i="10"/>
  <c r="B26" i="10"/>
  <c r="B27" i="10"/>
  <c r="B25" i="10"/>
  <c r="AA23" i="10"/>
  <c r="AA9" i="10" s="1"/>
  <c r="Z23" i="10"/>
  <c r="Z9" i="10" s="1"/>
  <c r="Y23" i="10"/>
  <c r="Y9" i="10" s="1"/>
  <c r="X23" i="10"/>
  <c r="X9" i="10" s="1"/>
  <c r="AJ9" i="10" s="1"/>
  <c r="W23" i="10"/>
  <c r="W9" i="10" s="1"/>
  <c r="AI9" i="10" s="1"/>
  <c r="V23" i="10"/>
  <c r="V9" i="10" s="1"/>
  <c r="AH9" i="10" s="1"/>
  <c r="U23" i="10"/>
  <c r="U9" i="10" s="1"/>
  <c r="AG9" i="10" s="1"/>
  <c r="T23" i="10"/>
  <c r="T9" i="10" s="1"/>
  <c r="S23" i="10"/>
  <c r="S9" i="10" s="1"/>
  <c r="R23" i="10"/>
  <c r="R9" i="10" s="1"/>
  <c r="Q23" i="10"/>
  <c r="Q9" i="10" s="1"/>
  <c r="G23" i="10"/>
  <c r="G9" i="10" s="1"/>
  <c r="F23" i="10"/>
  <c r="F9" i="10" s="1"/>
  <c r="E23" i="10"/>
  <c r="E9" i="10" s="1"/>
  <c r="AC23" i="10"/>
  <c r="B16" i="10"/>
  <c r="AG55" i="8"/>
  <c r="AG64" i="8"/>
  <c r="AG73" i="8"/>
  <c r="AG72" i="8"/>
  <c r="AC55" i="8"/>
  <c r="AC64" i="8"/>
  <c r="AC73" i="8"/>
  <c r="AC72" i="8"/>
  <c r="AJ73" i="8"/>
  <c r="AI73" i="8"/>
  <c r="AH73" i="8"/>
  <c r="AF73" i="8"/>
  <c r="AE73" i="8"/>
  <c r="AD73" i="8"/>
  <c r="AJ72" i="8"/>
  <c r="AI72" i="8"/>
  <c r="AH72" i="8"/>
  <c r="AF72" i="8"/>
  <c r="AE72" i="8"/>
  <c r="AD72" i="8"/>
  <c r="AJ64" i="8"/>
  <c r="AI64" i="8"/>
  <c r="AH64" i="8"/>
  <c r="AF64" i="8"/>
  <c r="AE64" i="8"/>
  <c r="AD64" i="8"/>
  <c r="AJ55" i="8"/>
  <c r="AI55" i="8"/>
  <c r="AH55" i="8"/>
  <c r="AF55" i="8"/>
  <c r="AE55" i="8"/>
  <c r="AD55" i="8"/>
  <c r="O153" i="8" l="1"/>
  <c r="O155" i="8" s="1"/>
  <c r="O160" i="8" s="1"/>
  <c r="O162" i="8" s="1"/>
  <c r="AF9" i="10"/>
  <c r="AC9" i="10"/>
  <c r="AD9" i="10"/>
  <c r="AE9" i="10"/>
  <c r="AI23" i="10"/>
  <c r="AF23" i="10"/>
  <c r="AH23" i="10"/>
  <c r="AD23" i="10"/>
  <c r="AG23" i="10"/>
  <c r="AJ23" i="10"/>
  <c r="AE23" i="10"/>
  <c r="AJ30" i="8"/>
  <c r="AL72" i="8"/>
  <c r="AL73" i="8"/>
  <c r="AL64" i="8"/>
  <c r="AL55" i="8"/>
  <c r="P153" i="8" l="1"/>
  <c r="P155" i="8" s="1"/>
  <c r="P160" i="8" s="1"/>
  <c r="P162" i="8" s="1"/>
  <c r="AG58" i="8"/>
  <c r="AG57" i="8"/>
  <c r="AG66" i="8"/>
  <c r="AG65" i="8"/>
  <c r="AG71" i="8"/>
  <c r="AC66" i="8"/>
  <c r="AC65" i="8"/>
  <c r="AC71" i="8"/>
  <c r="AC58" i="8"/>
  <c r="AC57" i="8"/>
  <c r="AJ65" i="8"/>
  <c r="AI65" i="8"/>
  <c r="AH65" i="8"/>
  <c r="AF65" i="8"/>
  <c r="AE65" i="8"/>
  <c r="AD65" i="8"/>
  <c r="AJ57" i="8"/>
  <c r="AI57" i="8"/>
  <c r="AH57" i="8"/>
  <c r="AF57" i="8"/>
  <c r="AE57" i="8"/>
  <c r="AD57" i="8"/>
  <c r="AJ71" i="8"/>
  <c r="AI71" i="8"/>
  <c r="AH71" i="8"/>
  <c r="AF71" i="8"/>
  <c r="AE71" i="8"/>
  <c r="AD71" i="8"/>
  <c r="AJ66" i="8"/>
  <c r="AI66" i="8"/>
  <c r="AH66" i="8"/>
  <c r="AF66" i="8"/>
  <c r="AE66" i="8"/>
  <c r="AD66" i="8"/>
  <c r="AJ58" i="8"/>
  <c r="AI58" i="8"/>
  <c r="AH58" i="8"/>
  <c r="AF58" i="8"/>
  <c r="AE58" i="8"/>
  <c r="AD58" i="8"/>
  <c r="Q153" i="8" l="1"/>
  <c r="AL65" i="8"/>
  <c r="AL57" i="8"/>
  <c r="AL71" i="8"/>
  <c r="W12" i="10"/>
  <c r="AF12" i="10"/>
  <c r="AL58" i="8"/>
  <c r="AL66" i="8"/>
  <c r="AJ13" i="8"/>
  <c r="AJ87" i="8"/>
  <c r="AI87" i="8"/>
  <c r="AH87" i="8"/>
  <c r="AF87" i="8"/>
  <c r="AE87" i="8"/>
  <c r="AD87" i="8"/>
  <c r="AJ86" i="8"/>
  <c r="AI86" i="8"/>
  <c r="AH86" i="8"/>
  <c r="AF86" i="8"/>
  <c r="AE86" i="8"/>
  <c r="AD86" i="8"/>
  <c r="AJ85" i="8"/>
  <c r="AI85" i="8"/>
  <c r="AH85" i="8"/>
  <c r="AF85" i="8"/>
  <c r="AE85" i="8"/>
  <c r="AD85" i="8"/>
  <c r="AG87" i="8"/>
  <c r="AG86" i="8"/>
  <c r="AG85" i="8"/>
  <c r="AC87" i="8"/>
  <c r="AC86" i="8"/>
  <c r="AC85" i="8"/>
  <c r="AG56" i="8"/>
  <c r="AC56" i="8"/>
  <c r="AJ56" i="8"/>
  <c r="AI56" i="8"/>
  <c r="AH56" i="8"/>
  <c r="AF56" i="8"/>
  <c r="AE56" i="8"/>
  <c r="AD56" i="8"/>
  <c r="AA4" i="10"/>
  <c r="Z4" i="10"/>
  <c r="AI4" i="10" s="1"/>
  <c r="Y4" i="10"/>
  <c r="AH4" i="10" s="1"/>
  <c r="W4" i="10"/>
  <c r="AF4" i="10" s="1"/>
  <c r="V4" i="10"/>
  <c r="AE4" i="10" s="1"/>
  <c r="U4" i="10"/>
  <c r="AD4" i="10" s="1"/>
  <c r="S4" i="10"/>
  <c r="R4" i="10"/>
  <c r="Q4" i="10"/>
  <c r="AA3" i="10"/>
  <c r="Z3" i="10"/>
  <c r="AI3" i="10" s="1"/>
  <c r="Y3" i="10"/>
  <c r="AH3" i="10" s="1"/>
  <c r="X3" i="10"/>
  <c r="AG3" i="10" s="1"/>
  <c r="W3" i="10"/>
  <c r="AF3" i="10" s="1"/>
  <c r="V3" i="10"/>
  <c r="AE3" i="10" s="1"/>
  <c r="U3" i="10"/>
  <c r="AD3" i="10" s="1"/>
  <c r="T3" i="10"/>
  <c r="AC3" i="10" s="1"/>
  <c r="S3" i="10"/>
  <c r="R3" i="10"/>
  <c r="Q3" i="10"/>
  <c r="G4" i="10"/>
  <c r="F4" i="10"/>
  <c r="E4" i="10"/>
  <c r="G3" i="10"/>
  <c r="F3" i="10"/>
  <c r="E3" i="10"/>
  <c r="B2" i="10"/>
  <c r="B17" i="10"/>
  <c r="B15" i="10"/>
  <c r="AA12" i="10"/>
  <c r="Z12" i="10"/>
  <c r="Y12" i="10"/>
  <c r="V12" i="10"/>
  <c r="U12" i="10"/>
  <c r="S12" i="10"/>
  <c r="R12" i="10"/>
  <c r="Q12" i="10"/>
  <c r="G12" i="10"/>
  <c r="F12" i="10"/>
  <c r="S39" i="10" l="1"/>
  <c r="S38" i="10"/>
  <c r="S37" i="10"/>
  <c r="S36" i="10"/>
  <c r="W36" i="10"/>
  <c r="AF36" i="10" s="1"/>
  <c r="W39" i="10"/>
  <c r="AF39" i="10" s="1"/>
  <c r="W37" i="10"/>
  <c r="AF37" i="10" s="1"/>
  <c r="W38" i="10"/>
  <c r="AF38" i="10" s="1"/>
  <c r="R39" i="10"/>
  <c r="R38" i="10"/>
  <c r="R37" i="10"/>
  <c r="R36" i="10"/>
  <c r="V36" i="10"/>
  <c r="AE36" i="10" s="1"/>
  <c r="V38" i="10"/>
  <c r="AE38" i="10" s="1"/>
  <c r="V39" i="10"/>
  <c r="AE39" i="10" s="1"/>
  <c r="V37" i="10"/>
  <c r="AE37" i="10" s="1"/>
  <c r="Y39" i="10"/>
  <c r="AH39" i="10" s="1"/>
  <c r="Y38" i="10"/>
  <c r="AH38" i="10" s="1"/>
  <c r="Y37" i="10"/>
  <c r="AH37" i="10" s="1"/>
  <c r="Y36" i="10"/>
  <c r="AH36" i="10" s="1"/>
  <c r="U37" i="10"/>
  <c r="AD37" i="10" s="1"/>
  <c r="U36" i="10"/>
  <c r="AD36" i="10" s="1"/>
  <c r="U39" i="10"/>
  <c r="AD39" i="10" s="1"/>
  <c r="U38" i="10"/>
  <c r="AD38" i="10" s="1"/>
  <c r="F37" i="10"/>
  <c r="F39" i="10"/>
  <c r="F36" i="10"/>
  <c r="F38" i="10"/>
  <c r="Z39" i="10"/>
  <c r="AI39" i="10" s="1"/>
  <c r="Z38" i="10"/>
  <c r="AI38" i="10" s="1"/>
  <c r="Z37" i="10"/>
  <c r="AI37" i="10" s="1"/>
  <c r="Z36" i="10"/>
  <c r="AI36" i="10" s="1"/>
  <c r="Q39" i="10"/>
  <c r="Q38" i="10"/>
  <c r="Q37" i="10"/>
  <c r="Q36" i="10"/>
  <c r="G39" i="10"/>
  <c r="G38" i="10"/>
  <c r="G37" i="10"/>
  <c r="G36" i="10"/>
  <c r="AA39" i="10"/>
  <c r="AJ39" i="10" s="1"/>
  <c r="AA38" i="10"/>
  <c r="AJ38" i="10" s="1"/>
  <c r="AA37" i="10"/>
  <c r="AJ37" i="10" s="1"/>
  <c r="AA36" i="10"/>
  <c r="AJ36" i="10" s="1"/>
  <c r="Q52" i="10"/>
  <c r="Q53" i="10"/>
  <c r="Q51" i="10"/>
  <c r="R53" i="10"/>
  <c r="R51" i="10"/>
  <c r="R52" i="10"/>
  <c r="S53" i="10"/>
  <c r="S51" i="10"/>
  <c r="S52" i="10"/>
  <c r="V51" i="10"/>
  <c r="AE51" i="10" s="1"/>
  <c r="V52" i="10"/>
  <c r="AE52" i="10" s="1"/>
  <c r="V53" i="10"/>
  <c r="AE53" i="10" s="1"/>
  <c r="W51" i="10"/>
  <c r="AF51" i="10" s="1"/>
  <c r="W52" i="10"/>
  <c r="AF52" i="10" s="1"/>
  <c r="W53" i="10"/>
  <c r="AF53" i="10" s="1"/>
  <c r="Y52" i="10"/>
  <c r="AH52" i="10" s="1"/>
  <c r="Y53" i="10"/>
  <c r="AH53" i="10" s="1"/>
  <c r="Y51" i="10"/>
  <c r="AH51" i="10" s="1"/>
  <c r="U51" i="10"/>
  <c r="AD51" i="10" s="1"/>
  <c r="U52" i="10"/>
  <c r="AD52" i="10" s="1"/>
  <c r="U53" i="10"/>
  <c r="AD53" i="10" s="1"/>
  <c r="F52" i="10"/>
  <c r="F51" i="10"/>
  <c r="F53" i="10"/>
  <c r="Z53" i="10"/>
  <c r="AI53" i="10" s="1"/>
  <c r="Z52" i="10"/>
  <c r="AI52" i="10" s="1"/>
  <c r="Z51" i="10"/>
  <c r="AI51" i="10" s="1"/>
  <c r="G51" i="10"/>
  <c r="G53" i="10"/>
  <c r="G52" i="10"/>
  <c r="AA52" i="10"/>
  <c r="AJ52" i="10" s="1"/>
  <c r="AA51" i="10"/>
  <c r="AJ51" i="10" s="1"/>
  <c r="AA53" i="10"/>
  <c r="AJ53" i="10" s="1"/>
  <c r="Y50" i="10"/>
  <c r="AH50" i="10" s="1"/>
  <c r="Q50" i="10"/>
  <c r="W50" i="10"/>
  <c r="AF50" i="10" s="1"/>
  <c r="R50" i="10"/>
  <c r="Z50" i="10"/>
  <c r="AI50" i="10" s="1"/>
  <c r="AA50" i="10"/>
  <c r="AJ50" i="10" s="1"/>
  <c r="S50" i="10"/>
  <c r="U50" i="10"/>
  <c r="AD50" i="10" s="1"/>
  <c r="F50" i="10"/>
  <c r="G50" i="10"/>
  <c r="V50" i="10"/>
  <c r="AE50" i="10" s="1"/>
  <c r="AI12" i="10"/>
  <c r="AI13" i="10" s="1"/>
  <c r="AC12" i="10"/>
  <c r="AH12" i="10"/>
  <c r="AG12" i="10"/>
  <c r="AD12" i="10"/>
  <c r="AE12" i="10"/>
  <c r="Y26" i="10"/>
  <c r="AH26" i="10" s="1"/>
  <c r="F26" i="10"/>
  <c r="Z26" i="10"/>
  <c r="AI26" i="10" s="1"/>
  <c r="W26" i="10"/>
  <c r="AF26" i="10" s="1"/>
  <c r="V26" i="10"/>
  <c r="AE26" i="10" s="1"/>
  <c r="Q26" i="10"/>
  <c r="G26" i="10"/>
  <c r="R26" i="10"/>
  <c r="AA26" i="10"/>
  <c r="AJ26" i="10" s="1"/>
  <c r="S26" i="10"/>
  <c r="U26" i="10"/>
  <c r="AD26" i="10" s="1"/>
  <c r="V25" i="10"/>
  <c r="AE25" i="10" s="1"/>
  <c r="V27" i="10"/>
  <c r="AE27" i="10" s="1"/>
  <c r="Y27" i="10"/>
  <c r="AH27" i="10" s="1"/>
  <c r="Y25" i="10"/>
  <c r="AH25" i="10" s="1"/>
  <c r="Z25" i="10"/>
  <c r="AI25" i="10" s="1"/>
  <c r="Z27" i="10"/>
  <c r="AI27" i="10" s="1"/>
  <c r="W25" i="10"/>
  <c r="AF25" i="10" s="1"/>
  <c r="W27" i="10"/>
  <c r="AF27" i="10" s="1"/>
  <c r="G25" i="10"/>
  <c r="G27" i="10"/>
  <c r="AA27" i="10"/>
  <c r="AJ27" i="10" s="1"/>
  <c r="AA25" i="10"/>
  <c r="AJ25" i="10" s="1"/>
  <c r="Q27" i="10"/>
  <c r="Q25" i="10"/>
  <c r="R25" i="10"/>
  <c r="R27" i="10"/>
  <c r="S27" i="10"/>
  <c r="S25" i="10"/>
  <c r="F25" i="10"/>
  <c r="F27" i="10"/>
  <c r="U25" i="10"/>
  <c r="AD25" i="10" s="1"/>
  <c r="U27" i="10"/>
  <c r="AD27" i="10" s="1"/>
  <c r="S16" i="10"/>
  <c r="V16" i="10"/>
  <c r="AE16" i="10" s="1"/>
  <c r="Y16" i="10"/>
  <c r="AH16" i="10" s="1"/>
  <c r="U16" i="10"/>
  <c r="AD16" i="10" s="1"/>
  <c r="F16" i="10"/>
  <c r="W16" i="10"/>
  <c r="AF16" i="10" s="1"/>
  <c r="R16" i="10"/>
  <c r="Z16" i="10"/>
  <c r="AI16" i="10" s="1"/>
  <c r="G16" i="10"/>
  <c r="AA16" i="10"/>
  <c r="AJ16" i="10" s="1"/>
  <c r="Q16" i="10"/>
  <c r="T12" i="10"/>
  <c r="AJ4" i="10"/>
  <c r="AJ3" i="10"/>
  <c r="AL13" i="8"/>
  <c r="AA17" i="10"/>
  <c r="AJ17" i="10" s="1"/>
  <c r="S17" i="10"/>
  <c r="Q17" i="10"/>
  <c r="V17" i="10"/>
  <c r="AE17" i="10" s="1"/>
  <c r="F17" i="10"/>
  <c r="AL56" i="8"/>
  <c r="AL25" i="8"/>
  <c r="AL24" i="8"/>
  <c r="U17" i="10"/>
  <c r="AD17" i="10" s="1"/>
  <c r="F15" i="10"/>
  <c r="Y17" i="10"/>
  <c r="AH17" i="10" s="1"/>
  <c r="U15" i="10"/>
  <c r="AD15" i="10" s="1"/>
  <c r="Q15" i="10"/>
  <c r="V15" i="10"/>
  <c r="AE15" i="10" s="1"/>
  <c r="Y15" i="10"/>
  <c r="AH15" i="10" s="1"/>
  <c r="S15" i="10"/>
  <c r="AA15" i="10"/>
  <c r="AJ15" i="10" s="1"/>
  <c r="G17" i="10"/>
  <c r="W17" i="10"/>
  <c r="AF17" i="10" s="1"/>
  <c r="R17" i="10"/>
  <c r="Z17" i="10"/>
  <c r="AI17" i="10" s="1"/>
  <c r="G15" i="10"/>
  <c r="W15" i="10"/>
  <c r="AF15" i="10" s="1"/>
  <c r="X12" i="10"/>
  <c r="R15" i="10"/>
  <c r="Z15" i="10"/>
  <c r="AI15" i="10" s="1"/>
  <c r="X36" i="10" l="1"/>
  <c r="AG36" i="10" s="1"/>
  <c r="X39" i="10"/>
  <c r="AG39" i="10" s="1"/>
  <c r="X38" i="10"/>
  <c r="AG38" i="10" s="1"/>
  <c r="X37" i="10"/>
  <c r="AG37" i="10" s="1"/>
  <c r="T38" i="10"/>
  <c r="AC38" i="10" s="1"/>
  <c r="T37" i="10"/>
  <c r="AC37" i="10" s="1"/>
  <c r="T36" i="10"/>
  <c r="AC36" i="10" s="1"/>
  <c r="T39" i="10"/>
  <c r="AC39" i="10" s="1"/>
  <c r="T53" i="10"/>
  <c r="AC53" i="10" s="1"/>
  <c r="T51" i="10"/>
  <c r="AC51" i="10" s="1"/>
  <c r="T52" i="10"/>
  <c r="AC52" i="10" s="1"/>
  <c r="X51" i="10"/>
  <c r="AG51" i="10" s="1"/>
  <c r="X52" i="10"/>
  <c r="AG52" i="10" s="1"/>
  <c r="X53" i="10"/>
  <c r="AG53" i="10" s="1"/>
  <c r="X50" i="10"/>
  <c r="AG50" i="10" s="1"/>
  <c r="T50" i="10"/>
  <c r="AC50" i="10" s="1"/>
  <c r="X26" i="10"/>
  <c r="AG26" i="10" s="1"/>
  <c r="T26" i="10"/>
  <c r="AC26" i="10" s="1"/>
  <c r="X25" i="10"/>
  <c r="AG25" i="10" s="1"/>
  <c r="X27" i="10"/>
  <c r="AG27" i="10" s="1"/>
  <c r="T25" i="10"/>
  <c r="AC25" i="10" s="1"/>
  <c r="T27" i="10"/>
  <c r="AC27" i="10" s="1"/>
  <c r="T16" i="10"/>
  <c r="AC16" i="10" s="1"/>
  <c r="X16" i="10"/>
  <c r="AG16" i="10" s="1"/>
  <c r="T17" i="10"/>
  <c r="AC17" i="10" s="1"/>
  <c r="T15" i="10"/>
  <c r="AC15" i="10" s="1"/>
  <c r="X17" i="10"/>
  <c r="AG17" i="10" s="1"/>
  <c r="X15" i="10"/>
  <c r="AG15" i="10" s="1"/>
  <c r="AJ12" i="10" l="1"/>
  <c r="K14" i="9"/>
  <c r="O14" i="9"/>
  <c r="AI45" i="8"/>
  <c r="AH45" i="8"/>
  <c r="AG45" i="8"/>
  <c r="AF45" i="8"/>
  <c r="AE45" i="8"/>
  <c r="AD45" i="8"/>
  <c r="AC45" i="8"/>
  <c r="AI42" i="8"/>
  <c r="AH42" i="8"/>
  <c r="AF42" i="8"/>
  <c r="AE42" i="8"/>
  <c r="AD42" i="8"/>
  <c r="K55" i="9"/>
  <c r="T55" i="9" s="1"/>
  <c r="AG53" i="8"/>
  <c r="K63" i="9"/>
  <c r="T63" i="9" s="1"/>
  <c r="K66" i="9"/>
  <c r="T66" i="9" s="1"/>
  <c r="AC63" i="8"/>
  <c r="K65" i="9"/>
  <c r="T65" i="9" s="1"/>
  <c r="K67" i="9"/>
  <c r="T67" i="9" s="1"/>
  <c r="AG63" i="8"/>
  <c r="AG62" i="8"/>
  <c r="AG70" i="8"/>
  <c r="AG77" i="8"/>
  <c r="K73" i="9"/>
  <c r="T73" i="9" s="1"/>
  <c r="AA59" i="8"/>
  <c r="Z59" i="8"/>
  <c r="Y59" i="8"/>
  <c r="W59" i="8"/>
  <c r="V59" i="8"/>
  <c r="U59" i="8"/>
  <c r="S59" i="8"/>
  <c r="R59" i="8"/>
  <c r="Q59" i="8"/>
  <c r="G59" i="8"/>
  <c r="F59" i="8"/>
  <c r="E59" i="8"/>
  <c r="X135" i="8"/>
  <c r="T135" i="8"/>
  <c r="X134" i="8"/>
  <c r="T134" i="8"/>
  <c r="K47" i="9" s="1"/>
  <c r="X130" i="8"/>
  <c r="O45" i="9" s="1"/>
  <c r="T130" i="8"/>
  <c r="AD130" i="8" s="1"/>
  <c r="X127" i="8"/>
  <c r="T127" i="8"/>
  <c r="K46" i="9" s="1"/>
  <c r="X124" i="8"/>
  <c r="T124" i="8"/>
  <c r="X123" i="8"/>
  <c r="T123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I82" i="8"/>
  <c r="AH82" i="8"/>
  <c r="AF82" i="8"/>
  <c r="AE82" i="8"/>
  <c r="AD82" i="8"/>
  <c r="AI77" i="8"/>
  <c r="AH77" i="8"/>
  <c r="AF77" i="8"/>
  <c r="AE77" i="8"/>
  <c r="AD77" i="8"/>
  <c r="AI70" i="8"/>
  <c r="AH70" i="8"/>
  <c r="AI63" i="8"/>
  <c r="AH63" i="8"/>
  <c r="AF63" i="8"/>
  <c r="AE63" i="8"/>
  <c r="AD63" i="8"/>
  <c r="AI62" i="8"/>
  <c r="AH62" i="8"/>
  <c r="AF62" i="8"/>
  <c r="AE62" i="8"/>
  <c r="AD62" i="8"/>
  <c r="AI53" i="8"/>
  <c r="AH53" i="8"/>
  <c r="AF53" i="8"/>
  <c r="AE53" i="8"/>
  <c r="AD53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X119" i="8"/>
  <c r="T119" i="8"/>
  <c r="AE119" i="8" s="1"/>
  <c r="T165" i="8"/>
  <c r="T107" i="8"/>
  <c r="K32" i="9" s="1"/>
  <c r="J27" i="9"/>
  <c r="J38" i="9"/>
  <c r="R45" i="9"/>
  <c r="R46" i="9"/>
  <c r="R38" i="9"/>
  <c r="R32" i="9"/>
  <c r="R27" i="9"/>
  <c r="M46" i="9"/>
  <c r="N38" i="9"/>
  <c r="X108" i="8"/>
  <c r="N32" i="9"/>
  <c r="N27" i="9"/>
  <c r="P47" i="9"/>
  <c r="AF70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T166" i="8"/>
  <c r="K39" i="9" s="1"/>
  <c r="X166" i="8"/>
  <c r="O39" i="9" s="1"/>
  <c r="X165" i="8"/>
  <c r="X158" i="8"/>
  <c r="X157" i="8"/>
  <c r="AG157" i="8" s="1"/>
  <c r="T158" i="8"/>
  <c r="T157" i="8"/>
  <c r="AF157" i="8" s="1"/>
  <c r="AJ82" i="8"/>
  <c r="AJ77" i="8"/>
  <c r="AJ70" i="8"/>
  <c r="AJ63" i="8"/>
  <c r="AJ62" i="8"/>
  <c r="AJ53" i="8"/>
  <c r="D45" i="9"/>
  <c r="K64" i="9"/>
  <c r="T64" i="9" s="1"/>
  <c r="AC77" i="8"/>
  <c r="AG82" i="8"/>
  <c r="AC82" i="8"/>
  <c r="AI34" i="8"/>
  <c r="AC34" i="8"/>
  <c r="T42" i="8"/>
  <c r="AC42" i="8" s="1"/>
  <c r="O23" i="9"/>
  <c r="O34" i="9" s="1"/>
  <c r="K23" i="9"/>
  <c r="K34" i="9" s="1"/>
  <c r="O21" i="9"/>
  <c r="K21" i="9"/>
  <c r="O72" i="9"/>
  <c r="X72" i="9" s="1"/>
  <c r="K72" i="9"/>
  <c r="T72" i="9" s="1"/>
  <c r="AJ42" i="8"/>
  <c r="AJ45" i="8"/>
  <c r="X42" i="8"/>
  <c r="AG42" i="8" s="1"/>
  <c r="AJ135" i="8" l="1"/>
  <c r="AI135" i="8"/>
  <c r="AH135" i="8"/>
  <c r="AG135" i="8"/>
  <c r="AD135" i="8"/>
  <c r="AC135" i="8"/>
  <c r="AF135" i="8"/>
  <c r="AE135" i="8"/>
  <c r="AJ29" i="8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F59" i="8"/>
  <c r="AH59" i="8"/>
  <c r="AI59" i="8"/>
  <c r="AJ59" i="8"/>
  <c r="X59" i="8"/>
  <c r="T59" i="8"/>
  <c r="K56" i="9"/>
  <c r="T56" i="9" s="1"/>
  <c r="AG59" i="8"/>
  <c r="X106" i="8"/>
  <c r="AJ106" i="8" s="1"/>
  <c r="W14" i="9"/>
  <c r="V21" i="9"/>
  <c r="U14" i="9"/>
  <c r="X34" i="9"/>
  <c r="V14" i="9"/>
  <c r="AC119" i="8"/>
  <c r="AF119" i="8"/>
  <c r="AI119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C134" i="8"/>
  <c r="AD127" i="8"/>
  <c r="AE130" i="8"/>
  <c r="Z23" i="9"/>
  <c r="W34" i="9"/>
  <c r="AC70" i="8"/>
  <c r="AD119" i="8"/>
  <c r="AE127" i="8"/>
  <c r="AF130" i="8"/>
  <c r="AD70" i="8"/>
  <c r="AC107" i="8"/>
  <c r="AG130" i="8"/>
  <c r="T23" i="9"/>
  <c r="AC53" i="8"/>
  <c r="AE70" i="8"/>
  <c r="AD107" i="8"/>
  <c r="AH130" i="8"/>
  <c r="U23" i="9"/>
  <c r="AE107" i="8"/>
  <c r="AG119" i="8"/>
  <c r="AI130" i="8"/>
  <c r="AD134" i="8"/>
  <c r="V23" i="9"/>
  <c r="AF107" i="8"/>
  <c r="AG108" i="8"/>
  <c r="AH119" i="8"/>
  <c r="AE134" i="8"/>
  <c r="U21" i="9"/>
  <c r="W23" i="9"/>
  <c r="AC62" i="8"/>
  <c r="AH108" i="8"/>
  <c r="AC130" i="8"/>
  <c r="AF134" i="8"/>
  <c r="X23" i="9"/>
  <c r="AI108" i="8"/>
  <c r="AC127" i="8"/>
  <c r="Y23" i="9"/>
  <c r="N49" i="9"/>
  <c r="AD34" i="8"/>
  <c r="AE34" i="8"/>
  <c r="AF34" i="8"/>
  <c r="AG34" i="8"/>
  <c r="AH34" i="8"/>
  <c r="J49" i="9"/>
  <c r="AL87" i="8"/>
  <c r="AL63" i="8"/>
  <c r="AL77" i="8"/>
  <c r="R49" i="9"/>
  <c r="M49" i="9"/>
  <c r="Y131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G131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U131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31" i="8"/>
  <c r="Q131" i="8"/>
  <c r="F131" i="8"/>
  <c r="AJ119" i="8"/>
  <c r="T108" i="8"/>
  <c r="AC108" i="8" s="1"/>
  <c r="AF123" i="8"/>
  <c r="AC105" i="8"/>
  <c r="AA131" i="8"/>
  <c r="X107" i="8"/>
  <c r="AG123" i="8"/>
  <c r="AH124" i="8"/>
  <c r="AG105" i="8"/>
  <c r="AD157" i="8"/>
  <c r="AJ108" i="8"/>
  <c r="AJ157" i="8"/>
  <c r="AI157" i="8"/>
  <c r="AH157" i="8"/>
  <c r="AE157" i="8"/>
  <c r="AC157" i="8"/>
  <c r="AJ130" i="8"/>
  <c r="AJ34" i="8"/>
  <c r="AL45" i="8"/>
  <c r="AL29" i="8" l="1"/>
  <c r="W10" i="9"/>
  <c r="V10" i="9"/>
  <c r="U10" i="9"/>
  <c r="T10" i="9"/>
  <c r="AG106" i="8"/>
  <c r="AI106" i="8"/>
  <c r="T106" i="8"/>
  <c r="AF106" i="8" s="1"/>
  <c r="AL106" i="8" s="1"/>
  <c r="AH106" i="8"/>
  <c r="AL119" i="8"/>
  <c r="V32" i="9"/>
  <c r="Z45" i="9"/>
  <c r="X22" i="9"/>
  <c r="V47" i="9"/>
  <c r="Z22" i="9"/>
  <c r="U20" i="9"/>
  <c r="AD108" i="8"/>
  <c r="AI124" i="8"/>
  <c r="AH123" i="8"/>
  <c r="AH107" i="8"/>
  <c r="AI107" i="8"/>
  <c r="K33" i="9"/>
  <c r="W22" i="9"/>
  <c r="AC22" i="9" s="1"/>
  <c r="V22" i="9"/>
  <c r="U47" i="9"/>
  <c r="N48" i="9"/>
  <c r="AG124" i="8"/>
  <c r="AI105" i="8"/>
  <c r="Y22" i="9"/>
  <c r="Y20" i="9"/>
  <c r="X19" i="9"/>
  <c r="J44" i="9"/>
  <c r="W45" i="9"/>
  <c r="V45" i="9"/>
  <c r="K48" i="9"/>
  <c r="U22" i="9"/>
  <c r="T45" i="9"/>
  <c r="AF127" i="8"/>
  <c r="X20" i="9"/>
  <c r="T32" i="9"/>
  <c r="U32" i="9"/>
  <c r="J48" i="9"/>
  <c r="AI123" i="8"/>
  <c r="AD123" i="8"/>
  <c r="AH105" i="8"/>
  <c r="AF105" i="8"/>
  <c r="AD105" i="8"/>
  <c r="U19" i="9"/>
  <c r="W19" i="9"/>
  <c r="V19" i="9"/>
  <c r="AF108" i="8"/>
  <c r="AL108" i="8" s="1"/>
  <c r="AE108" i="8"/>
  <c r="V20" i="9"/>
  <c r="W20" i="9"/>
  <c r="AG107" i="8"/>
  <c r="AE123" i="8"/>
  <c r="AE105" i="8"/>
  <c r="Y15" i="9"/>
  <c r="K28" i="9"/>
  <c r="W28" i="9" s="1"/>
  <c r="W15" i="9"/>
  <c r="U15" i="9"/>
  <c r="Y19" i="9"/>
  <c r="V15" i="9"/>
  <c r="AC123" i="8"/>
  <c r="X45" i="9"/>
  <c r="T15" i="9"/>
  <c r="T47" i="9"/>
  <c r="Y45" i="9"/>
  <c r="X15" i="9"/>
  <c r="W47" i="9"/>
  <c r="Q47" i="9"/>
  <c r="AC23" i="9"/>
  <c r="AC21" i="9"/>
  <c r="AL130" i="8"/>
  <c r="AC34" i="9"/>
  <c r="K41" i="9"/>
  <c r="O48" i="9"/>
  <c r="N41" i="9"/>
  <c r="AA20" i="9"/>
  <c r="O33" i="9"/>
  <c r="AI127" i="8"/>
  <c r="N46" i="9"/>
  <c r="AJ105" i="8"/>
  <c r="O27" i="9"/>
  <c r="Z27" i="9" s="1"/>
  <c r="O32" i="9"/>
  <c r="K38" i="9"/>
  <c r="S131" i="8"/>
  <c r="AE124" i="8"/>
  <c r="O28" i="9"/>
  <c r="Z28" i="9" s="1"/>
  <c r="O44" i="9"/>
  <c r="Z44" i="9" s="1"/>
  <c r="K27" i="9"/>
  <c r="T27" i="9" s="1"/>
  <c r="AA15" i="9"/>
  <c r="O38" i="9"/>
  <c r="R131" i="8"/>
  <c r="AJ107" i="8"/>
  <c r="AL107" i="8" s="1"/>
  <c r="Z131" i="8"/>
  <c r="AJ124" i="8"/>
  <c r="W131" i="8"/>
  <c r="AJ123" i="8"/>
  <c r="V131" i="8"/>
  <c r="AL34" i="8"/>
  <c r="AA73" i="9"/>
  <c r="AA72" i="9"/>
  <c r="O7" i="9"/>
  <c r="O6" i="9"/>
  <c r="AJ158" i="8"/>
  <c r="AA154" i="8"/>
  <c r="AH158" i="8"/>
  <c r="AJ154" i="8"/>
  <c r="W154" i="8"/>
  <c r="V154" i="8"/>
  <c r="T154" i="8"/>
  <c r="S154" i="8"/>
  <c r="Q151" i="8"/>
  <c r="R151" i="8"/>
  <c r="S151" i="8"/>
  <c r="R154" i="8"/>
  <c r="Y154" i="8"/>
  <c r="U154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C106" i="8"/>
  <c r="AD106" i="8"/>
  <c r="AE106" i="8"/>
  <c r="W48" i="9"/>
  <c r="O41" i="9"/>
  <c r="U27" i="9"/>
  <c r="AG127" i="8"/>
  <c r="Y27" i="9"/>
  <c r="AC20" i="9"/>
  <c r="X28" i="9"/>
  <c r="V28" i="9"/>
  <c r="X27" i="9"/>
  <c r="T131" i="8"/>
  <c r="AF124" i="8"/>
  <c r="AL124" i="8" s="1"/>
  <c r="AD124" i="8"/>
  <c r="X44" i="9"/>
  <c r="X32" i="9"/>
  <c r="Z32" i="9"/>
  <c r="T28" i="9"/>
  <c r="Y28" i="9"/>
  <c r="AH134" i="8"/>
  <c r="AI134" i="8"/>
  <c r="AG134" i="8"/>
  <c r="Y44" i="9"/>
  <c r="AF150" i="8"/>
  <c r="AD150" i="8"/>
  <c r="AE150" i="8"/>
  <c r="AC150" i="8"/>
  <c r="W27" i="9"/>
  <c r="V27" i="9"/>
  <c r="Y32" i="9"/>
  <c r="V48" i="9"/>
  <c r="U48" i="9"/>
  <c r="T48" i="9"/>
  <c r="Z48" i="9"/>
  <c r="Y48" i="9"/>
  <c r="X48" i="9"/>
  <c r="AI150" i="8"/>
  <c r="AG150" i="8"/>
  <c r="AH150" i="8"/>
  <c r="W46" i="9"/>
  <c r="AC124" i="8"/>
  <c r="O46" i="9"/>
  <c r="AA46" i="9" s="1"/>
  <c r="AH127" i="8"/>
  <c r="U33" i="9"/>
  <c r="W33" i="9"/>
  <c r="V33" i="9"/>
  <c r="T33" i="9"/>
  <c r="AA33" i="9"/>
  <c r="X33" i="9"/>
  <c r="Y33" i="9"/>
  <c r="Z33" i="9"/>
  <c r="U28" i="9"/>
  <c r="AC15" i="9"/>
  <c r="K49" i="9"/>
  <c r="O49" i="9"/>
  <c r="AL123" i="8"/>
  <c r="AL135" i="8"/>
  <c r="AJ127" i="8"/>
  <c r="AL127" i="8" s="1"/>
  <c r="O9" i="9"/>
  <c r="O8" i="9"/>
  <c r="AJ134" i="8"/>
  <c r="O47" i="9"/>
  <c r="AA28" i="9"/>
  <c r="AC28" i="9" s="1"/>
  <c r="K44" i="9"/>
  <c r="W44" i="9" s="1"/>
  <c r="X131" i="8"/>
  <c r="Z154" i="8"/>
  <c r="AC165" i="8"/>
  <c r="AE154" i="8"/>
  <c r="AG154" i="8"/>
  <c r="AD158" i="8"/>
  <c r="AJ150" i="8"/>
  <c r="AE158" i="8"/>
  <c r="AG158" i="8"/>
  <c r="AD154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58" i="8"/>
  <c r="AF158" i="8"/>
  <c r="AF154" i="8"/>
  <c r="AH154" i="8"/>
  <c r="AI158" i="8"/>
  <c r="AI154" i="8"/>
  <c r="F154" i="8"/>
  <c r="AC154" i="8" s="1"/>
  <c r="G154" i="8"/>
  <c r="X154" i="8"/>
  <c r="AA14" i="9"/>
  <c r="AL150" i="8" l="1"/>
  <c r="T29" i="9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H165" i="8"/>
  <c r="AI165" i="8"/>
  <c r="AF165" i="8"/>
  <c r="AE165" i="8"/>
  <c r="AD165" i="8"/>
  <c r="AJ165" i="8"/>
  <c r="AG165" i="8"/>
  <c r="AC14" i="9"/>
  <c r="X10" i="9" l="1"/>
  <c r="X16" i="9" s="1"/>
  <c r="X24" i="9" s="1"/>
  <c r="X29" i="9" s="1"/>
  <c r="X35" i="9" s="1"/>
  <c r="AA57" i="9" l="1"/>
  <c r="AA56" i="9"/>
  <c r="X8" i="8"/>
  <c r="X4" i="10" s="1"/>
  <c r="AG4" i="10" s="1"/>
  <c r="T8" i="8"/>
  <c r="T4" i="10" s="1"/>
  <c r="AC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A74" i="8"/>
  <c r="R68" i="9" s="1"/>
  <c r="Z74" i="8"/>
  <c r="Q68" i="9" s="1"/>
  <c r="Z68" i="9" s="1"/>
  <c r="Y74" i="8"/>
  <c r="P68" i="9" s="1"/>
  <c r="Y68" i="9" s="1"/>
  <c r="W74" i="8"/>
  <c r="N68" i="9" s="1"/>
  <c r="W68" i="9" s="1"/>
  <c r="V74" i="8"/>
  <c r="M68" i="9" s="1"/>
  <c r="V68" i="9" s="1"/>
  <c r="U74" i="8"/>
  <c r="L68" i="9" s="1"/>
  <c r="U68" i="9" s="1"/>
  <c r="S74" i="8"/>
  <c r="J68" i="9" s="1"/>
  <c r="R74" i="8"/>
  <c r="I68" i="9" s="1"/>
  <c r="Q74" i="8"/>
  <c r="H68" i="9" s="1"/>
  <c r="G74" i="8"/>
  <c r="F68" i="9" s="1"/>
  <c r="F74" i="8"/>
  <c r="E68" i="9" s="1"/>
  <c r="E74" i="8"/>
  <c r="D68" i="9" s="1"/>
  <c r="C68" i="9"/>
  <c r="AA55" i="9"/>
  <c r="AA58" i="9" s="1"/>
  <c r="R4" i="9"/>
  <c r="AA4" i="9" s="1"/>
  <c r="R3" i="9"/>
  <c r="AA3" i="9" s="1"/>
  <c r="AJ8" i="8"/>
  <c r="AJ99" i="8" s="1"/>
  <c r="AJ7" i="8"/>
  <c r="AJ98" i="8" s="1"/>
  <c r="AA99" i="8"/>
  <c r="AA98" i="8"/>
  <c r="AA88" i="8"/>
  <c r="AA50" i="8"/>
  <c r="AA49" i="8"/>
  <c r="AA11" i="8"/>
  <c r="Y151" i="8"/>
  <c r="G151" i="8"/>
  <c r="F151" i="8"/>
  <c r="E151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S88" i="8"/>
  <c r="Z99" i="8"/>
  <c r="Y99" i="8"/>
  <c r="X99" i="8"/>
  <c r="W99" i="8"/>
  <c r="V99" i="8"/>
  <c r="U99" i="8"/>
  <c r="T99" i="8"/>
  <c r="S99" i="8"/>
  <c r="R99" i="8"/>
  <c r="Q99" i="8"/>
  <c r="Z98" i="8"/>
  <c r="Y98" i="8"/>
  <c r="X98" i="8"/>
  <c r="W98" i="8"/>
  <c r="V98" i="8"/>
  <c r="U98" i="8"/>
  <c r="T98" i="8"/>
  <c r="S98" i="8"/>
  <c r="R98" i="8"/>
  <c r="Q98" i="8"/>
  <c r="W88" i="8"/>
  <c r="V88" i="8"/>
  <c r="U88" i="8"/>
  <c r="R88" i="8"/>
  <c r="Q88" i="8"/>
  <c r="Z50" i="8"/>
  <c r="Y50" i="8"/>
  <c r="X50" i="8"/>
  <c r="W50" i="8"/>
  <c r="V50" i="8"/>
  <c r="U50" i="8"/>
  <c r="T50" i="8"/>
  <c r="S50" i="8"/>
  <c r="R50" i="8"/>
  <c r="Q50" i="8"/>
  <c r="Z49" i="8"/>
  <c r="Y49" i="8"/>
  <c r="X49" i="8"/>
  <c r="W49" i="8"/>
  <c r="V49" i="8"/>
  <c r="U49" i="8"/>
  <c r="T49" i="8"/>
  <c r="S49" i="8"/>
  <c r="R49" i="8"/>
  <c r="Q49" i="8"/>
  <c r="G50" i="8"/>
  <c r="F50" i="8"/>
  <c r="E50" i="8"/>
  <c r="G49" i="8"/>
  <c r="F49" i="8"/>
  <c r="E49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R87" i="9" l="1"/>
  <c r="AA87" i="9" s="1"/>
  <c r="AA91" i="8"/>
  <c r="N87" i="9"/>
  <c r="W87" i="9" s="1"/>
  <c r="W91" i="8"/>
  <c r="M87" i="9"/>
  <c r="V87" i="9" s="1"/>
  <c r="V91" i="8"/>
  <c r="L87" i="9"/>
  <c r="U87" i="9" s="1"/>
  <c r="U91" i="8"/>
  <c r="J87" i="9"/>
  <c r="S91" i="8"/>
  <c r="I87" i="9"/>
  <c r="R91" i="8"/>
  <c r="H87" i="9"/>
  <c r="Q91" i="8"/>
  <c r="R14" i="8"/>
  <c r="Z14" i="8"/>
  <c r="V14" i="8"/>
  <c r="S14" i="8"/>
  <c r="Q14" i="8"/>
  <c r="U14" i="8"/>
  <c r="AA14" i="8"/>
  <c r="S13" i="10"/>
  <c r="Q13" i="10"/>
  <c r="R13" i="10"/>
  <c r="U13" i="10"/>
  <c r="AA13" i="10"/>
  <c r="V13" i="10"/>
  <c r="Z13" i="10"/>
  <c r="AL53" i="8"/>
  <c r="AL82" i="8"/>
  <c r="AL62" i="8"/>
  <c r="AL70" i="8"/>
  <c r="AA80" i="8"/>
  <c r="R69" i="9" s="1"/>
  <c r="AH166" i="8"/>
  <c r="K58" i="9"/>
  <c r="S67" i="8"/>
  <c r="AH74" i="8"/>
  <c r="AI74" i="8"/>
  <c r="AJ74" i="8"/>
  <c r="AF74" i="8"/>
  <c r="T74" i="8"/>
  <c r="K68" i="9" s="1"/>
  <c r="T68" i="9" s="1"/>
  <c r="X74" i="8"/>
  <c r="O68" i="9" s="1"/>
  <c r="X68" i="9" s="1"/>
  <c r="S80" i="8"/>
  <c r="J69" i="9" s="1"/>
  <c r="AJ88" i="8"/>
  <c r="AJ91" i="8" s="1"/>
  <c r="AJ10" i="8"/>
  <c r="R80" i="8"/>
  <c r="I69" i="9" s="1"/>
  <c r="AJ49" i="8"/>
  <c r="AJ50" i="8"/>
  <c r="Q80" i="8"/>
  <c r="H69" i="9" s="1"/>
  <c r="R67" i="8"/>
  <c r="Z151" i="8"/>
  <c r="U151" i="8"/>
  <c r="V151" i="8"/>
  <c r="Z67" i="8"/>
  <c r="W67" i="8"/>
  <c r="Q67" i="8"/>
  <c r="V67" i="8"/>
  <c r="U67" i="8"/>
  <c r="G80" i="8"/>
  <c r="F69" i="9" s="1"/>
  <c r="AF166" i="8"/>
  <c r="V58" i="9"/>
  <c r="U58" i="9"/>
  <c r="AG166" i="8"/>
  <c r="AD166" i="8"/>
  <c r="AE166" i="8"/>
  <c r="AC166" i="8"/>
  <c r="T11" i="8"/>
  <c r="T88" i="8"/>
  <c r="T67" i="8"/>
  <c r="X67" i="8"/>
  <c r="AA92" i="8" l="1"/>
  <c r="Q92" i="8"/>
  <c r="Q94" i="8" s="1"/>
  <c r="R92" i="8"/>
  <c r="R94" i="8" s="1"/>
  <c r="S92" i="8"/>
  <c r="S94" i="8" s="1"/>
  <c r="K87" i="9"/>
  <c r="T87" i="9" s="1"/>
  <c r="T88" i="9" s="1"/>
  <c r="T97" i="9" s="1"/>
  <c r="T91" i="8"/>
  <c r="U15" i="8"/>
  <c r="U26" i="8"/>
  <c r="U31" i="8" s="1"/>
  <c r="Q15" i="8"/>
  <c r="Q26" i="8"/>
  <c r="Q31" i="8" s="1"/>
  <c r="S15" i="8"/>
  <c r="S26" i="8"/>
  <c r="S31" i="8" s="1"/>
  <c r="V15" i="8"/>
  <c r="V26" i="8"/>
  <c r="Z15" i="8"/>
  <c r="Z26" i="8"/>
  <c r="Z31" i="8" s="1"/>
  <c r="AA15" i="8"/>
  <c r="AA26" i="8"/>
  <c r="R15" i="8"/>
  <c r="R26" i="8"/>
  <c r="R31" i="8" s="1"/>
  <c r="T14" i="8"/>
  <c r="T13" i="10"/>
  <c r="AA69" i="9"/>
  <c r="AA9" i="9"/>
  <c r="AC9" i="9" s="1"/>
  <c r="AA8" i="9"/>
  <c r="AC8" i="9" s="1"/>
  <c r="AA7" i="9"/>
  <c r="AC7" i="9" s="1"/>
  <c r="AG74" i="8"/>
  <c r="AL17" i="8"/>
  <c r="AL134" i="8"/>
  <c r="AA48" i="9"/>
  <c r="AJ67" i="8"/>
  <c r="AJ80" i="8"/>
  <c r="AJ92" i="8" s="1"/>
  <c r="AL74" i="8"/>
  <c r="AJ11" i="8"/>
  <c r="AH13" i="10" s="1"/>
  <c r="AL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AA88" i="9"/>
  <c r="AA97" i="9" s="1"/>
  <c r="AA19" i="9"/>
  <c r="AA67" i="8"/>
  <c r="AA68" i="9"/>
  <c r="AA38" i="9"/>
  <c r="AA151" i="8"/>
  <c r="W151" i="8"/>
  <c r="AA44" i="9"/>
  <c r="T58" i="9"/>
  <c r="V80" i="8"/>
  <c r="M69" i="9" s="1"/>
  <c r="V69" i="9" s="1"/>
  <c r="U80" i="8"/>
  <c r="L69" i="9" s="1"/>
  <c r="U69" i="9" s="1"/>
  <c r="T80" i="8"/>
  <c r="K69" i="9" s="1"/>
  <c r="T69" i="9" s="1"/>
  <c r="W80" i="8"/>
  <c r="N69" i="9" s="1"/>
  <c r="W69" i="9" s="1"/>
  <c r="U39" i="9"/>
  <c r="X39" i="9"/>
  <c r="Y38" i="9"/>
  <c r="AA41" i="9"/>
  <c r="V39" i="9"/>
  <c r="Z38" i="9"/>
  <c r="W39" i="9"/>
  <c r="X38" i="9"/>
  <c r="T39" i="9"/>
  <c r="AA94" i="8" l="1"/>
  <c r="U92" i="8"/>
  <c r="U94" i="8" s="1"/>
  <c r="AJ94" i="8"/>
  <c r="W92" i="8"/>
  <c r="W94" i="8" s="1"/>
  <c r="T92" i="8"/>
  <c r="T94" i="8" s="1"/>
  <c r="V92" i="8"/>
  <c r="V94" i="8" s="1"/>
  <c r="AA31" i="8"/>
  <c r="AA35" i="8" s="1"/>
  <c r="AA39" i="8" s="1"/>
  <c r="V31" i="8"/>
  <c r="V35" i="8" s="1"/>
  <c r="V39" i="8" s="1"/>
  <c r="U27" i="8"/>
  <c r="AA27" i="8"/>
  <c r="T15" i="8"/>
  <c r="T26" i="8"/>
  <c r="V27" i="8"/>
  <c r="AJ14" i="8"/>
  <c r="AJ26" i="8" s="1"/>
  <c r="AC19" i="9"/>
  <c r="U35" i="8"/>
  <c r="U39" i="8" s="1"/>
  <c r="R35" i="8"/>
  <c r="R39" i="8" s="1"/>
  <c r="S32" i="8"/>
  <c r="S27" i="8"/>
  <c r="R27" i="8"/>
  <c r="R24" i="9"/>
  <c r="R29" i="9" s="1"/>
  <c r="R35" i="9" s="1"/>
  <c r="Q35" i="8"/>
  <c r="Q39" i="8" s="1"/>
  <c r="Q27" i="8"/>
  <c r="Y40" i="9"/>
  <c r="Z40" i="9"/>
  <c r="X40" i="9"/>
  <c r="AC40" i="9"/>
  <c r="U40" i="9"/>
  <c r="V40" i="9"/>
  <c r="T40" i="9"/>
  <c r="Z39" i="9"/>
  <c r="AI166" i="8"/>
  <c r="Y39" i="9"/>
  <c r="AG131" i="8"/>
  <c r="AI131" i="8"/>
  <c r="AH131" i="8"/>
  <c r="AJ131" i="8"/>
  <c r="Z41" i="9"/>
  <c r="AI151" i="8"/>
  <c r="AJ151" i="8"/>
  <c r="AE131" i="8"/>
  <c r="AG151" i="8"/>
  <c r="AE151" i="8"/>
  <c r="AH151" i="8"/>
  <c r="X151" i="8"/>
  <c r="Y41" i="9"/>
  <c r="AL105" i="8"/>
  <c r="X41" i="9"/>
  <c r="AF131" i="8"/>
  <c r="AD131" i="8"/>
  <c r="AC131" i="8"/>
  <c r="V38" i="9"/>
  <c r="U38" i="9"/>
  <c r="W38" i="9"/>
  <c r="T38" i="9"/>
  <c r="W41" i="9"/>
  <c r="AC41" i="9" s="1"/>
  <c r="T41" i="9"/>
  <c r="U41" i="9"/>
  <c r="V41" i="9"/>
  <c r="U32" i="8"/>
  <c r="V32" i="8" l="1"/>
  <c r="AA32" i="8"/>
  <c r="R40" i="8"/>
  <c r="R46" i="8"/>
  <c r="R43" i="8"/>
  <c r="Q40" i="8"/>
  <c r="Q46" i="8"/>
  <c r="Q43" i="8"/>
  <c r="U40" i="8"/>
  <c r="U43" i="8"/>
  <c r="U46" i="8"/>
  <c r="V40" i="8"/>
  <c r="V46" i="8"/>
  <c r="V43" i="8"/>
  <c r="AA40" i="8"/>
  <c r="AA46" i="8"/>
  <c r="AA43" i="8"/>
  <c r="R102" i="8"/>
  <c r="Q102" i="8"/>
  <c r="U102" i="8"/>
  <c r="V102" i="8"/>
  <c r="V120" i="8" s="1"/>
  <c r="V159" i="8" s="1"/>
  <c r="AA102" i="8"/>
  <c r="AA120" i="8" s="1"/>
  <c r="AA159" i="8" s="1"/>
  <c r="T31" i="8"/>
  <c r="T32" i="8" s="1"/>
  <c r="AJ31" i="8"/>
  <c r="AJ32" i="8" s="1"/>
  <c r="T27" i="8"/>
  <c r="AJ15" i="8"/>
  <c r="X42" i="9"/>
  <c r="Y42" i="9"/>
  <c r="Z42" i="9"/>
  <c r="T42" i="9"/>
  <c r="AC38" i="9"/>
  <c r="W42" i="9"/>
  <c r="U42" i="9"/>
  <c r="V42" i="9"/>
  <c r="S35" i="8"/>
  <c r="S39" i="8" s="1"/>
  <c r="R32" i="8"/>
  <c r="R17" i="9"/>
  <c r="R25" i="9"/>
  <c r="Q32" i="8"/>
  <c r="AL42" i="8"/>
  <c r="AL131" i="8"/>
  <c r="AA39" i="9"/>
  <c r="AC39" i="9" s="1"/>
  <c r="AJ166" i="8"/>
  <c r="AA32" i="9"/>
  <c r="AC32" i="9" s="1"/>
  <c r="AA27" i="9"/>
  <c r="AA45" i="9"/>
  <c r="R30" i="9"/>
  <c r="AC151" i="8"/>
  <c r="T151" i="8"/>
  <c r="AF151" i="8"/>
  <c r="AL151" i="8" s="1"/>
  <c r="AD151" i="8"/>
  <c r="S40" i="8" l="1"/>
  <c r="S46" i="8"/>
  <c r="S43" i="8"/>
  <c r="S102" i="8"/>
  <c r="T35" i="8"/>
  <c r="T39" i="8" s="1"/>
  <c r="Q120" i="8"/>
  <c r="Q159" i="8" s="1"/>
  <c r="U120" i="8"/>
  <c r="U159" i="8" s="1"/>
  <c r="R120" i="8"/>
  <c r="R159" i="8" s="1"/>
  <c r="AJ27" i="8"/>
  <c r="AJ35" i="8"/>
  <c r="AJ39" i="8" s="1"/>
  <c r="AC27" i="9"/>
  <c r="AA6" i="9"/>
  <c r="AA10" i="9" s="1"/>
  <c r="AA16" i="9" s="1"/>
  <c r="AA24" i="9" s="1"/>
  <c r="AA29" i="9" s="1"/>
  <c r="AA35" i="9" s="1"/>
  <c r="AA42" i="9" s="1"/>
  <c r="V17" i="9"/>
  <c r="R36" i="9"/>
  <c r="R42" i="9"/>
  <c r="R50" i="9" s="1"/>
  <c r="AJ40" i="8" l="1"/>
  <c r="AJ46" i="8"/>
  <c r="AJ43" i="8"/>
  <c r="T40" i="8"/>
  <c r="T46" i="8"/>
  <c r="T43" i="8"/>
  <c r="T102" i="8"/>
  <c r="T120" i="8" s="1"/>
  <c r="T159" i="8" s="1"/>
  <c r="AJ102" i="8"/>
  <c r="S120" i="8"/>
  <c r="S159" i="8" s="1"/>
  <c r="U17" i="9"/>
  <c r="W25" i="9"/>
  <c r="W17" i="9"/>
  <c r="T17" i="9"/>
  <c r="V25" i="9"/>
  <c r="T25" i="9"/>
  <c r="Y11" i="9"/>
  <c r="AC6" i="9"/>
  <c r="R51" i="9"/>
  <c r="T30" i="9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D159" i="8"/>
  <c r="AE159" i="8"/>
  <c r="AC159" i="8"/>
  <c r="T96" i="9" a="1"/>
  <c r="T96" i="9" s="1"/>
  <c r="T94" i="9"/>
  <c r="T95" i="9" a="1"/>
  <c r="T95" i="9" s="1"/>
  <c r="T93" i="9"/>
  <c r="T36" i="9"/>
  <c r="T92" i="9"/>
  <c r="B99" i="8"/>
  <c r="B98" i="8"/>
  <c r="G99" i="8"/>
  <c r="F99" i="8"/>
  <c r="E99" i="8"/>
  <c r="G98" i="8"/>
  <c r="F98" i="8"/>
  <c r="E98" i="8"/>
  <c r="B50" i="8"/>
  <c r="B49" i="8"/>
  <c r="AI50" i="8"/>
  <c r="AH50" i="8"/>
  <c r="AG50" i="8"/>
  <c r="AE50" i="8"/>
  <c r="AD50" i="8"/>
  <c r="AC50" i="8"/>
  <c r="AF50" i="8"/>
  <c r="AI49" i="8"/>
  <c r="AH49" i="8"/>
  <c r="AG49" i="8"/>
  <c r="AF49" i="8"/>
  <c r="AE49" i="8"/>
  <c r="AD49" i="8"/>
  <c r="AC49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C98" i="8"/>
  <c r="AC99" i="8"/>
  <c r="AF98" i="8"/>
  <c r="AG98" i="8"/>
  <c r="AG99" i="8"/>
  <c r="AH99" i="8"/>
  <c r="AE98" i="8"/>
  <c r="AH98" i="8"/>
  <c r="AE99" i="8"/>
  <c r="AD99" i="8"/>
  <c r="AI98" i="8"/>
  <c r="AF99" i="8"/>
  <c r="AD98" i="8"/>
  <c r="AI99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X88" i="8" l="1"/>
  <c r="Z88" i="8"/>
  <c r="Q87" i="9" l="1"/>
  <c r="Z87" i="9" s="1"/>
  <c r="Z91" i="8"/>
  <c r="O87" i="9"/>
  <c r="X87" i="9" s="1"/>
  <c r="X88" i="9" s="1"/>
  <c r="X97" i="9" s="1"/>
  <c r="X91" i="8"/>
  <c r="Y67" i="8"/>
  <c r="Y88" i="8"/>
  <c r="P87" i="9" l="1"/>
  <c r="Y87" i="9" s="1"/>
  <c r="Y88" i="9" s="1"/>
  <c r="Y97" i="9" s="1"/>
  <c r="Y91" i="8"/>
  <c r="R11" i="9"/>
  <c r="R12" i="9"/>
  <c r="Z88" i="9"/>
  <c r="Z97" i="9" s="1"/>
  <c r="AD11" i="8" l="1"/>
  <c r="F67" i="8"/>
  <c r="E67" i="8"/>
  <c r="G67" i="8"/>
  <c r="AD14" i="8" l="1"/>
  <c r="AE11" i="8"/>
  <c r="AC13" i="10" s="1"/>
  <c r="AE59" i="8"/>
  <c r="AE67" i="8" s="1"/>
  <c r="AE88" i="8"/>
  <c r="AE91" i="8" s="1"/>
  <c r="AC59" i="8"/>
  <c r="AC67" i="8" s="1"/>
  <c r="AE74" i="8"/>
  <c r="AE80" i="8" s="1"/>
  <c r="AD74" i="8"/>
  <c r="AD80" i="8" s="1"/>
  <c r="AD59" i="8"/>
  <c r="AD67" i="8" s="1"/>
  <c r="AC88" i="8"/>
  <c r="AC91" i="8" s="1"/>
  <c r="AC11" i="8"/>
  <c r="AC74" i="8"/>
  <c r="AC80" i="8" s="1"/>
  <c r="AD88" i="8"/>
  <c r="AD91" i="8" s="1"/>
  <c r="AG88" i="8"/>
  <c r="AG91" i="8" s="1"/>
  <c r="AG67" i="8"/>
  <c r="AH88" i="8"/>
  <c r="AH91" i="8" s="1"/>
  <c r="AH92" i="8" s="1"/>
  <c r="AG11" i="8"/>
  <c r="AE13" i="10" s="1"/>
  <c r="AG80" i="8"/>
  <c r="AH80" i="8"/>
  <c r="AF11" i="8"/>
  <c r="AD13" i="10" s="1"/>
  <c r="AH11" i="8"/>
  <c r="AF13" i="10" s="1"/>
  <c r="AH67" i="8"/>
  <c r="AH94" i="8" l="1"/>
  <c r="AG92" i="8"/>
  <c r="AG94" i="8" s="1"/>
  <c r="AE92" i="8"/>
  <c r="AE94" i="8" s="1"/>
  <c r="AD92" i="8"/>
  <c r="AD94" i="8" s="1"/>
  <c r="AC92" i="8"/>
  <c r="AC94" i="8" s="1"/>
  <c r="AD15" i="8"/>
  <c r="AD26" i="8"/>
  <c r="AG14" i="8"/>
  <c r="AH14" i="8"/>
  <c r="AF14" i="8"/>
  <c r="AF26" i="8" s="1"/>
  <c r="AC14" i="8"/>
  <c r="AE14" i="8"/>
  <c r="AL11" i="8"/>
  <c r="AJ13" i="10" s="1"/>
  <c r="AF31" i="8" l="1"/>
  <c r="AF32" i="8" s="1"/>
  <c r="AD31" i="8"/>
  <c r="AD32" i="8" s="1"/>
  <c r="AE15" i="8"/>
  <c r="AE26" i="8"/>
  <c r="AG15" i="8"/>
  <c r="AG26" i="8"/>
  <c r="AC15" i="8"/>
  <c r="AC26" i="8"/>
  <c r="AH15" i="8"/>
  <c r="AH26" i="8"/>
  <c r="AF15" i="8"/>
  <c r="AL15" i="8" s="1"/>
  <c r="AL14" i="8"/>
  <c r="AD27" i="8"/>
  <c r="Z17" i="9"/>
  <c r="AG31" i="8" l="1"/>
  <c r="AG32" i="8" s="1"/>
  <c r="AE31" i="8"/>
  <c r="AE32" i="8" s="1"/>
  <c r="AH31" i="8"/>
  <c r="AH35" i="8" s="1"/>
  <c r="AH39" i="8" s="1"/>
  <c r="AC31" i="8"/>
  <c r="AC32" i="8" s="1"/>
  <c r="AC27" i="8"/>
  <c r="AD35" i="8"/>
  <c r="AD39" i="8" s="1"/>
  <c r="AH27" i="8"/>
  <c r="AF35" i="8"/>
  <c r="AF39" i="8" s="1"/>
  <c r="AL26" i="8"/>
  <c r="AG27" i="8"/>
  <c r="AF27" i="8"/>
  <c r="AL27" i="8" s="1"/>
  <c r="AE27" i="8"/>
  <c r="Z94" i="9"/>
  <c r="Z25" i="9"/>
  <c r="AF40" i="8" l="1"/>
  <c r="AL40" i="8" s="1"/>
  <c r="AF46" i="8"/>
  <c r="AF43" i="8"/>
  <c r="AD40" i="8"/>
  <c r="AD43" i="8"/>
  <c r="AD46" i="8"/>
  <c r="AH40" i="8"/>
  <c r="AH46" i="8"/>
  <c r="AH43" i="8"/>
  <c r="AL39" i="8"/>
  <c r="AG35" i="8"/>
  <c r="AG39" i="8" s="1"/>
  <c r="AH32" i="8"/>
  <c r="AF102" i="8"/>
  <c r="AH102" i="8"/>
  <c r="AD102" i="8"/>
  <c r="AC35" i="8"/>
  <c r="AC39" i="8" s="1"/>
  <c r="AE35" i="8"/>
  <c r="AE39" i="8" s="1"/>
  <c r="AL32" i="8"/>
  <c r="AL31" i="8"/>
  <c r="Z30" i="9"/>
  <c r="AG40" i="8" l="1"/>
  <c r="AG46" i="8"/>
  <c r="AG43" i="8"/>
  <c r="AE40" i="8"/>
  <c r="AE43" i="8"/>
  <c r="AE46" i="8"/>
  <c r="AC40" i="8"/>
  <c r="AC46" i="8"/>
  <c r="AC43" i="8"/>
  <c r="AG102" i="8"/>
  <c r="AE102" i="8"/>
  <c r="AC102" i="8"/>
  <c r="AL46" i="8"/>
  <c r="AL43" i="8"/>
  <c r="AL35" i="8"/>
  <c r="Z96" i="9" a="1"/>
  <c r="Z96" i="9" s="1"/>
  <c r="Z36" i="9"/>
  <c r="Z95" i="9" a="1"/>
  <c r="Z95" i="9" s="1"/>
  <c r="Z92" i="9"/>
  <c r="Z93" i="9"/>
  <c r="AF80" i="8" l="1"/>
  <c r="AL80" i="8" s="1"/>
  <c r="W11" i="8" l="1"/>
  <c r="G11" i="8"/>
  <c r="F11" i="8"/>
  <c r="E11" i="8"/>
  <c r="G88" i="8"/>
  <c r="F88" i="8"/>
  <c r="E88" i="8"/>
  <c r="C87" i="9"/>
  <c r="Z80" i="8"/>
  <c r="X80" i="8"/>
  <c r="AI11" i="8"/>
  <c r="AG13" i="10" s="1"/>
  <c r="P88" i="9"/>
  <c r="P97" i="9" s="1"/>
  <c r="H88" i="9"/>
  <c r="H97" i="9" s="1"/>
  <c r="O69" i="9" l="1"/>
  <c r="X69" i="9" s="1"/>
  <c r="X92" i="8"/>
  <c r="X94" i="8" s="1"/>
  <c r="Q69" i="9"/>
  <c r="Z69" i="9" s="1"/>
  <c r="Z92" i="8"/>
  <c r="Z94" i="8" s="1"/>
  <c r="E87" i="9"/>
  <c r="E88" i="9" s="1"/>
  <c r="E97" i="9" s="1"/>
  <c r="F91" i="8"/>
  <c r="D87" i="9"/>
  <c r="D88" i="9" s="1"/>
  <c r="D97" i="9" s="1"/>
  <c r="E91" i="8"/>
  <c r="F87" i="9"/>
  <c r="G91" i="8"/>
  <c r="G92" i="8" s="1"/>
  <c r="G94" i="8" s="1"/>
  <c r="F14" i="8"/>
  <c r="E14" i="8"/>
  <c r="G14" i="8"/>
  <c r="AI14" i="8"/>
  <c r="W14" i="8"/>
  <c r="F13" i="10"/>
  <c r="G13" i="10"/>
  <c r="W13" i="10"/>
  <c r="C69" i="9"/>
  <c r="F80" i="8"/>
  <c r="E69" i="9" s="1"/>
  <c r="E80" i="8"/>
  <c r="D69" i="9" s="1"/>
  <c r="I88" i="9"/>
  <c r="I97" i="9" s="1"/>
  <c r="Q88" i="9"/>
  <c r="Q97" i="9" s="1"/>
  <c r="J88" i="9"/>
  <c r="J97" i="9" s="1"/>
  <c r="F88" i="9"/>
  <c r="F97" i="9" s="1"/>
  <c r="J24" i="9"/>
  <c r="J29" i="9" s="1"/>
  <c r="J35" i="9" s="1"/>
  <c r="P11" i="9"/>
  <c r="P12" i="9"/>
  <c r="AF88" i="8"/>
  <c r="AF91" i="8" s="1"/>
  <c r="Y80" i="8"/>
  <c r="AI80" i="8"/>
  <c r="AI88" i="8"/>
  <c r="AI91" i="8" s="1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F92" i="8" l="1"/>
  <c r="F94" i="8" s="1"/>
  <c r="E92" i="8"/>
  <c r="E94" i="8" s="1"/>
  <c r="P69" i="9"/>
  <c r="Y69" i="9" s="1"/>
  <c r="Y92" i="8"/>
  <c r="Y94" i="8" s="1"/>
  <c r="AI92" i="8"/>
  <c r="AF92" i="8"/>
  <c r="AL91" i="8"/>
  <c r="W15" i="8"/>
  <c r="W26" i="8"/>
  <c r="W31" i="8" s="1"/>
  <c r="AI15" i="8"/>
  <c r="AI26" i="8"/>
  <c r="G15" i="8"/>
  <c r="G26" i="8"/>
  <c r="E15" i="8"/>
  <c r="E26" i="8"/>
  <c r="F15" i="8"/>
  <c r="F26" i="8"/>
  <c r="F31" i="8" s="1"/>
  <c r="AL88" i="8"/>
  <c r="Z35" i="8"/>
  <c r="Z39" i="8" s="1"/>
  <c r="O88" i="9"/>
  <c r="O97" i="9" s="1"/>
  <c r="AL59" i="8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I67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AI94" i="8" l="1"/>
  <c r="AL92" i="8"/>
  <c r="Z40" i="8"/>
  <c r="Z46" i="8"/>
  <c r="Z43" i="8"/>
  <c r="Z102" i="8"/>
  <c r="E31" i="8"/>
  <c r="E35" i="8" s="1"/>
  <c r="E39" i="8" s="1"/>
  <c r="E46" i="8" s="1"/>
  <c r="G31" i="8"/>
  <c r="G35" i="8" s="1"/>
  <c r="G39" i="8" s="1"/>
  <c r="G46" i="8" s="1"/>
  <c r="AI31" i="8"/>
  <c r="AI32" i="8" s="1"/>
  <c r="W27" i="8"/>
  <c r="F27" i="8"/>
  <c r="R92" i="9"/>
  <c r="M17" i="9"/>
  <c r="M25" i="9"/>
  <c r="Z27" i="8"/>
  <c r="G27" i="8"/>
  <c r="F35" i="8"/>
  <c r="F39" i="8" s="1"/>
  <c r="F46" i="8" s="1"/>
  <c r="W35" i="8"/>
  <c r="W39" i="8" s="1"/>
  <c r="E27" i="8"/>
  <c r="AF67" i="8"/>
  <c r="AF94" i="8" s="1"/>
  <c r="Z32" i="8"/>
  <c r="AI27" i="8"/>
  <c r="O17" i="9"/>
  <c r="K17" i="9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W40" i="8" l="1"/>
  <c r="W46" i="8"/>
  <c r="W43" i="8"/>
  <c r="G40" i="8"/>
  <c r="G43" i="8"/>
  <c r="F40" i="8"/>
  <c r="F43" i="8"/>
  <c r="E40" i="8"/>
  <c r="E43" i="8"/>
  <c r="F102" i="8"/>
  <c r="W102" i="8"/>
  <c r="G32" i="8"/>
  <c r="AI35" i="8"/>
  <c r="AI39" i="8" s="1"/>
  <c r="G102" i="8"/>
  <c r="G120" i="8" s="1"/>
  <c r="G159" i="8" s="1"/>
  <c r="E102" i="8"/>
  <c r="E120" i="8" s="1"/>
  <c r="E32" i="8"/>
  <c r="Z120" i="8"/>
  <c r="Z159" i="8" s="1"/>
  <c r="AL67" i="8"/>
  <c r="F32" i="8"/>
  <c r="W32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AI40" i="8" l="1"/>
  <c r="AI46" i="8"/>
  <c r="AI43" i="8"/>
  <c r="AI102" i="8"/>
  <c r="F120" i="8"/>
  <c r="F159" i="8" s="1"/>
  <c r="W120" i="8"/>
  <c r="W159" i="8" s="1"/>
  <c r="AF159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59" i="8"/>
  <c r="AE120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F120" i="8" l="1"/>
  <c r="AC120" i="8"/>
  <c r="AD120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E155" i="8" l="1"/>
  <c r="E160" i="8" s="1"/>
  <c r="F153" i="8" l="1"/>
  <c r="F155" i="8" l="1"/>
  <c r="F160" i="8" l="1"/>
  <c r="G153" i="8" l="1"/>
  <c r="G155" i="8" s="1"/>
  <c r="G160" i="8" s="1"/>
  <c r="G162" i="8" s="1"/>
  <c r="Q155" i="8"/>
  <c r="Q160" i="8" s="1"/>
  <c r="Q162" i="8" s="1"/>
  <c r="R153" i="8" l="1"/>
  <c r="R155" i="8" s="1"/>
  <c r="R160" i="8" s="1"/>
  <c r="R162" i="8" s="1"/>
  <c r="AD153" i="8"/>
  <c r="S153" i="8" l="1"/>
  <c r="S155" i="8" s="1"/>
  <c r="S160" i="8" s="1"/>
  <c r="S162" i="8" s="1"/>
  <c r="AE153" i="8"/>
  <c r="AF153" i="8" l="1"/>
  <c r="T153" i="8"/>
  <c r="T155" i="8" s="1"/>
  <c r="T160" i="8" s="1"/>
  <c r="T162" i="8" s="1"/>
  <c r="AG153" i="8" l="1"/>
  <c r="U153" i="8"/>
  <c r="U155" i="8" s="1"/>
  <c r="U160" i="8" s="1"/>
  <c r="U162" i="8" s="1"/>
  <c r="AH153" i="8" l="1"/>
  <c r="AD155" i="8"/>
  <c r="AD160" i="8" s="1"/>
  <c r="AD162" i="8" s="1"/>
  <c r="V153" i="8"/>
  <c r="V155" i="8" s="1"/>
  <c r="V160" i="8" s="1"/>
  <c r="V162" i="8" s="1"/>
  <c r="AI153" i="8" l="1"/>
  <c r="AE155" i="8"/>
  <c r="AE160" i="8" s="1"/>
  <c r="AE162" i="8" s="1"/>
  <c r="W153" i="8"/>
  <c r="W155" i="8" s="1"/>
  <c r="W160" i="8" s="1"/>
  <c r="W162" i="8" s="1"/>
  <c r="AJ153" i="8" l="1"/>
  <c r="AF155" i="8"/>
  <c r="AF160" i="8" s="1"/>
  <c r="AF162" i="8" s="1"/>
  <c r="X153" i="8"/>
  <c r="X155" i="8" s="1"/>
  <c r="Y11" i="8" l="1"/>
  <c r="Y14" i="8" l="1"/>
  <c r="Y13" i="10"/>
  <c r="Y15" i="8" l="1"/>
  <c r="Y26" i="8"/>
  <c r="Y31" i="8" l="1"/>
  <c r="Y35" i="8" s="1"/>
  <c r="Y39" i="8" s="1"/>
  <c r="Y27" i="8"/>
  <c r="Y40" i="8" l="1"/>
  <c r="Y46" i="8"/>
  <c r="Y43" i="8"/>
  <c r="Y102" i="8"/>
  <c r="Y32" i="8"/>
  <c r="Y120" i="8" l="1"/>
  <c r="Y159" i="8" s="1"/>
  <c r="X11" i="8"/>
  <c r="X14" i="8" l="1"/>
  <c r="X13" i="10"/>
  <c r="X15" i="8" l="1"/>
  <c r="X26" i="8"/>
  <c r="X31" i="8" l="1"/>
  <c r="X35" i="8" s="1"/>
  <c r="X39" i="8" s="1"/>
  <c r="X27" i="8"/>
  <c r="X40" i="8" l="1"/>
  <c r="X46" i="8"/>
  <c r="X43" i="8"/>
  <c r="X32" i="8"/>
  <c r="X102" i="8"/>
  <c r="AJ120" i="8" l="1"/>
  <c r="AL120" i="8" s="1"/>
  <c r="AL102" i="8"/>
  <c r="AG120" i="8"/>
  <c r="AH120" i="8"/>
  <c r="X120" i="8"/>
  <c r="X159" i="8" s="1"/>
  <c r="X160" i="8" l="1"/>
  <c r="X162" i="8" s="1"/>
  <c r="AJ159" i="8"/>
  <c r="AI159" i="8"/>
  <c r="AH159" i="8"/>
  <c r="AG159" i="8"/>
  <c r="AG155" i="8"/>
  <c r="AI120" i="8"/>
  <c r="Y153" i="8" l="1"/>
  <c r="Y155" i="8" s="1"/>
  <c r="Y160" i="8" s="1"/>
  <c r="Y162" i="8" s="1"/>
  <c r="AG160" i="8"/>
  <c r="AG162" i="8" s="1"/>
  <c r="AH155" i="8"/>
  <c r="AH160" i="8" s="1"/>
  <c r="AH162" i="8" s="1"/>
  <c r="Z153" i="8" l="1"/>
  <c r="Z155" i="8" s="1"/>
  <c r="Z160" i="8" s="1"/>
  <c r="Z162" i="8" s="1"/>
  <c r="AI155" i="8"/>
  <c r="AI160" i="8" s="1"/>
  <c r="AI162" i="8" s="1"/>
  <c r="AC155" i="8"/>
  <c r="AC160" i="8" s="1"/>
  <c r="AC162" i="8" s="1"/>
  <c r="AA153" i="8" l="1"/>
  <c r="AA155" i="8" s="1"/>
  <c r="AA160" i="8" s="1"/>
  <c r="AA162" i="8" s="1"/>
  <c r="AJ155" i="8"/>
  <c r="AJ160" i="8" s="1"/>
  <c r="AJ162" i="8" s="1"/>
  <c r="C88" i="9" l="1"/>
  <c r="C97" i="9" s="1"/>
  <c r="C92" i="9"/>
  <c r="C93" i="9"/>
  <c r="E12" i="10" l="1"/>
  <c r="E36" i="10" l="1"/>
  <c r="E37" i="10"/>
  <c r="E39" i="10"/>
  <c r="E38" i="10"/>
  <c r="E51" i="10"/>
  <c r="E52" i="10"/>
  <c r="E53" i="10"/>
  <c r="E50" i="10"/>
  <c r="E26" i="10"/>
  <c r="E13" i="10"/>
  <c r="E25" i="10"/>
  <c r="E16" i="10"/>
  <c r="E15" i="10"/>
  <c r="E17" i="10"/>
  <c r="E2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<sst xmlns="http://schemas.openxmlformats.org/spreadsheetml/2006/main" count="296" uniqueCount="249">
  <si>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</si>
  <si>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</si>
  <si>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</si>
  <si>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</si>
  <si>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</si>
  <si>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</si>
  <si>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</si>
  <si>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</si>
  <si>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</si>
  <si>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</si>
  <si>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</si>
  <si>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</si>
  <si>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</si>
  <si>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</si>
  <si>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</si>
  <si>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</si>
  <si>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</si>
  <si>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</si>
  <si>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</si>
  <si>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</si>
  <si>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</si>
  <si>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</si>
  <si>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</si>
  <si>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</si>
  <si>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</si>
  <si>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</si>
  <si>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</si>
  <si>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</si>
  <si>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</si>
  <si>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</si>
  <si>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</si>
  <si>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</si>
  <si>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</si>
  <si>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</si>
  <si>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</si>
  <si>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</si>
  <si>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</si>
  <si>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</si>
  <si>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</si>
  <si>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</si>
  <si>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</si>
  <si>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</si>
  <si>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</si>
  <si>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</si>
  <si>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</si>
  <si>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</si>
  <si>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</si>
  <si>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</si>
  <si>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</si>
  <si>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</si>
  <si>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</si>
  <si>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</si>
  <si>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</si>
  <si>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</si>
  <si>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</si>
  <si>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</si>
  <si>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</si>
  <si>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</si>
  <si>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</si>
  <si>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</si>
  <si>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</si>
  <si>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</si>
  <si>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</si>
  <si>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</si>
  <si>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</si>
  <si>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</si>
  <si>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</si>
  <si>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</si>
  <si>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</si>
  <si>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</si>
  <si>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</si>
  <si>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</si>
  <si>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</si>
  <si>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</si>
  <si>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</si>
  <si>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</si>
  <si>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</si>
  <si>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</si>
  <si>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</si>
  <si>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</si>
  <si>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</si>
  <si>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</si>
  <si>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</si>
  <si>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</si>
  <si>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</si>
  <si>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</si>
  <si>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</si>
  <si>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</si>
  <si>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</si>
  <si>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</si>
  <si>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</si>
  <si>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</si>
  <si>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</si>
  <si>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</si>
  <si>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</si>
  <si>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</si>
  <si>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</si>
  <si>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</si>
  <si>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</si>
  <si>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</si>
  <si>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</si>
  <si>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</si>
  <si>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</si>
  <si>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</si>
  <si>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</si>
  <si>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</si>
  <si>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</si>
  <si>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</si>
  <si>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</si>
  <si>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</si>
  <si>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</si>
  <si>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</si>
  <si>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</si>
  <si>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</si>
  <si>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</si>
  <si>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</si>
  <si>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</si>
  <si>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</si>
  <si>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</si>
  <si>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</si>
  <si>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</si>
  <si>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</si>
  <si>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</si>
  <si>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</si>
  <si>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</si>
  <si>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</si>
  <si>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</si>
  <si>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</si>
  <si>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</si>
  <si>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</si>
  <si>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</si>
  <si>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</si>
  <si>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</si>
  <si>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</si>
  <si>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</si>
  <si>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</si>
  <si>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Other Investing Activities</t>
  </si>
  <si>
    <t>Common Stock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</si>
  <si>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</si>
  <si>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</si>
  <si>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</si>
  <si>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</si>
  <si>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</si>
  <si>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</si>
  <si>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4Q22</t>
  </si>
  <si>
    <t>1Q22</t>
  </si>
  <si>
    <t>2Q22</t>
  </si>
  <si>
    <t>3Q22</t>
  </si>
  <si>
    <t>Cost Of Sales</t>
  </si>
  <si>
    <t>Accrued Expenses</t>
  </si>
  <si>
    <t>4Q21</t>
  </si>
  <si>
    <t>3Q21</t>
  </si>
  <si>
    <t>2Q21</t>
  </si>
  <si>
    <t>1Q21</t>
  </si>
  <si>
    <t>U.S. Revenues</t>
  </si>
  <si>
    <t>Electrophysiology</t>
  </si>
  <si>
    <t>Neuromodulation</t>
  </si>
  <si>
    <t>Total Revenues</t>
  </si>
  <si>
    <t xml:space="preserve">MedSurg </t>
  </si>
  <si>
    <t>Cardiology</t>
  </si>
  <si>
    <t>Peripheral Interventions</t>
  </si>
  <si>
    <t>Euro, Mid. East, Afr</t>
  </si>
  <si>
    <t>A-Pac</t>
  </si>
  <si>
    <t>Lat Am + Canada</t>
  </si>
  <si>
    <t>Endoscopy</t>
  </si>
  <si>
    <t>Urology</t>
  </si>
  <si>
    <t>Total MedSurg Revenues</t>
  </si>
  <si>
    <t>Interventional Cardiology</t>
  </si>
  <si>
    <t>Watchman</t>
  </si>
  <si>
    <t>Cardiac Rhythm</t>
  </si>
  <si>
    <t>Cardiology Revenues</t>
  </si>
  <si>
    <t>MedSurg Revenues</t>
  </si>
  <si>
    <t>Total Cardiology Revenues</t>
  </si>
  <si>
    <t>Revenue by Geo</t>
  </si>
  <si>
    <t>Royalties</t>
  </si>
  <si>
    <t>Amortization</t>
  </si>
  <si>
    <t>Contingent Consideration</t>
  </si>
  <si>
    <t>Restructuring Charges</t>
  </si>
  <si>
    <t>Litigation-Related net Charges</t>
  </si>
  <si>
    <t>Loss on Disposal of Assets</t>
  </si>
  <si>
    <t>Interest Income (Expenses)</t>
  </si>
  <si>
    <t>Net Income to non-controlling interests</t>
  </si>
  <si>
    <t>Net Income to BSX</t>
  </si>
  <si>
    <t>Preferred Stock Obligation</t>
  </si>
  <si>
    <t>Prepaid Income Taxes</t>
  </si>
  <si>
    <t>Assets Held for Sale</t>
  </si>
  <si>
    <t>Other Current Assets</t>
  </si>
  <si>
    <t>Current Debt</t>
  </si>
  <si>
    <t>Other Current Liabilities</t>
  </si>
  <si>
    <t xml:space="preserve">Boston Scientific Corp. (NYSE: BSX) </t>
  </si>
  <si>
    <t>Other, net</t>
  </si>
  <si>
    <t xml:space="preserve">Research and development </t>
  </si>
  <si>
    <t xml:space="preserve">Selling, general and administrative </t>
  </si>
  <si>
    <t>Intangible asset impairment charges</t>
  </si>
  <si>
    <t>Preferred Stock</t>
  </si>
  <si>
    <t>Treasury stock</t>
  </si>
  <si>
    <t xml:space="preserve">Additional paid-in capital	</t>
  </si>
  <si>
    <t>Retained earnings</t>
  </si>
  <si>
    <t>Accumulated OCI</t>
  </si>
  <si>
    <t xml:space="preserve">Total equity	</t>
  </si>
  <si>
    <t>Net income (loss) attr. to no-ncontrolling interests</t>
  </si>
  <si>
    <t xml:space="preserve">Income tax provision </t>
  </si>
  <si>
    <t>Other long-term liabilities</t>
  </si>
  <si>
    <t>Deferred tax liabilities</t>
  </si>
  <si>
    <t>Long-term debt</t>
  </si>
  <si>
    <t>Noncontrolling interests</t>
  </si>
  <si>
    <t>Cash and cash equivalents</t>
  </si>
  <si>
    <t>Trade accounts receivable</t>
  </si>
  <si>
    <t xml:space="preserve">Property, plant and equipment, net	</t>
  </si>
  <si>
    <t>Other intangible assets, net</t>
  </si>
  <si>
    <t>Deferred tax assets</t>
  </si>
  <si>
    <t>Other long-term assets</t>
  </si>
  <si>
    <t>Changes in Working Capital:</t>
  </si>
  <si>
    <t>Loss (gain) on disposal of businesses and assets</t>
  </si>
  <si>
    <t>Depreciation and amortization</t>
  </si>
  <si>
    <t>Deferred and prepaid income taxes</t>
  </si>
  <si>
    <t xml:space="preserve">Stock-based compensation </t>
  </si>
  <si>
    <t>Goodwill &amp; other intangible impairment charges</t>
  </si>
  <si>
    <t>Contingent consideration net expense (benefit)</t>
  </si>
  <si>
    <t xml:space="preserve">Inventory step-up amortization	</t>
  </si>
  <si>
    <t>Debt extinguishment net charges</t>
  </si>
  <si>
    <t xml:space="preserve">Trade accounts receivable	</t>
  </si>
  <si>
    <t xml:space="preserve">Other assets	</t>
  </si>
  <si>
    <t>Accounts payable, accrued expenses and other liabilities</t>
  </si>
  <si>
    <t>Purchases of PP&amp;E and internal use software</t>
  </si>
  <si>
    <t>Proceeds from sale of property, plant and equipment</t>
  </si>
  <si>
    <t xml:space="preserve">Payments for acquisitions of businesses, net of cash acquired	</t>
  </si>
  <si>
    <t xml:space="preserve">Payments for investments and acquisitions of certain technologies	</t>
  </si>
  <si>
    <t xml:space="preserve">Proceeds from disposal of certain businesses and assets	</t>
  </si>
  <si>
    <t xml:space="preserve">Proceeds from royalty rights	</t>
  </si>
  <si>
    <t xml:space="preserve">Proceeds from settlements of hedge contracts	</t>
  </si>
  <si>
    <t xml:space="preserve">Payment of contingent consideration previously established in purchase accounting	</t>
  </si>
  <si>
    <t xml:space="preserve">Payments for royalty rights	</t>
  </si>
  <si>
    <t xml:space="preserve">Payments for finance leases	</t>
  </si>
  <si>
    <t xml:space="preserve">Payments on short-term borrowings	</t>
  </si>
  <si>
    <t xml:space="preserve">Proceeds from short-term borrowings, net of debt issuance costs	</t>
  </si>
  <si>
    <t xml:space="preserve">Net increase (decrease) in commercial paper	</t>
  </si>
  <si>
    <t xml:space="preserve">Payments on long-term borrowings and debt extinguishment costs	</t>
  </si>
  <si>
    <t xml:space="preserve">Proceeds from long-term borrowings, net of debt issuance costs	</t>
  </si>
  <si>
    <t xml:space="preserve">Cash dividends paid on preferred stock	</t>
  </si>
  <si>
    <t xml:space="preserve">Cash used to net share settle employee equity awards	</t>
  </si>
  <si>
    <t>Proceeds from issuances of shares of common stock pursuant to employee stock compensation and purchase plans</t>
  </si>
  <si>
    <t>Other Financing Activities</t>
  </si>
  <si>
    <t xml:space="preserve">Net loss (gain) on investments and notes receivable	</t>
  </si>
  <si>
    <t xml:space="preserve">Net proceeds from issuance of preferred stock in connection with public offering	</t>
  </si>
  <si>
    <t xml:space="preserve">Net proceeds from issuance of common stock in connection with public offering	</t>
  </si>
  <si>
    <t xml:space="preserve">Payments on borrowings from credit facilities	</t>
  </si>
  <si>
    <t xml:space="preserve">Proceeds from borrowings on credit facilities	</t>
  </si>
  <si>
    <t xml:space="preserve">Payments for repurchase of common stock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</si>
</sst>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41" fontId="11" fillId="0" borderId="12" xfId="0" applyNumberFormat="1" applyFont="1" applyBorder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83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42.375" style="5" bestFit="1" customWidth="1"/>
    <col min="3" max="7" width="9" style="5" bestFit="1" customWidth="1"/>
    <col min="8" max="8" width="1.5" style="5" customWidth="1"/>
    <col min="9" max="20" width="8.875" style="5" customWidth="1" outlineLevel="2"/>
    <col min="21" max="22" width="8.875" style="5" customWidth="1" outlineLevel="1"/>
    <col min="23" max="27" width="8.875" style="5" bestFit="1" customWidth="1"/>
    <col min="28" max="28" width="1.5" style="5" customWidth="1"/>
    <col min="29" max="31" width="8.75" style="5" customWidth="1" outlineLevel="1"/>
    <col min="32" max="32" width="9" style="5" bestFit="1" customWidth="1"/>
    <col min="33" max="35" width="9" style="5" customWidth="1" outlineLevel="1"/>
    <col min="36" max="36" width="9" style="5" bestFit="1" customWidth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189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72</v>
      </c>
      <c r="C6" s="2"/>
      <c r="D6" s="2"/>
      <c r="E6" s="2"/>
      <c r="F6" s="2"/>
      <c r="G6" s="2"/>
      <c r="H6" s="3"/>
      <c r="I6" s="2"/>
      <c r="J6" s="2"/>
      <c r="K6" s="2" t="s">
        <v>1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8" t="s">
        <v>22</v>
      </c>
    </row>
    <row r="7" spans="1:38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153</v>
      </c>
      <c r="J7" s="4" t="s">
        <v>152</v>
      </c>
      <c r="K7" s="4" t="s">
        <v>151</v>
      </c>
      <c r="L7" s="4" t="s">
        <v>150</v>
      </c>
      <c r="M7" s="4" t="s">
        <v>145</v>
      </c>
      <c r="N7" s="4" t="s">
        <v>146</v>
      </c>
      <c r="O7" s="4" t="s">
        <v>147</v>
      </c>
      <c r="P7" s="4" t="s">
        <v>144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 t="shared" ref="AC7:AJ8" si="0">T7</f>
        <v>4Q23</v>
      </c>
      <c r="AD7" s="4" t="str">
        <f t="shared" si="0"/>
        <v>1Q24</v>
      </c>
      <c r="AE7" s="4" t="str">
        <f t="shared" si="0"/>
        <v>2Q24</v>
      </c>
      <c r="AF7" s="4" t="str">
        <f t="shared" si="0"/>
        <v>3Q24</v>
      </c>
      <c r="AG7" s="4" t="str">
        <f t="shared" si="0"/>
        <v>4Q24</v>
      </c>
      <c r="AH7" s="4" t="str">
        <f t="shared" si="0"/>
        <v>1Q25</v>
      </c>
      <c r="AI7" s="4" t="str">
        <f t="shared" si="0"/>
        <v>2Q25</v>
      </c>
      <c r="AJ7" s="4" t="str">
        <f t="shared" si="0"/>
        <v>3Q25</v>
      </c>
      <c r="AK7" s="38"/>
      <c r="AL7" s="168"/>
    </row>
    <row r="8" spans="1:38" ht="12.75" customHeight="1">
      <c r="B8" s="6" t="s">
        <v>76</v>
      </c>
      <c r="C8" s="85">
        <v>44196</v>
      </c>
      <c r="D8" s="85">
        <v>44561</v>
      </c>
      <c r="E8" s="85">
        <v>44926</v>
      </c>
      <c r="F8" s="85">
        <v>45291</v>
      </c>
      <c r="G8" s="85">
        <v>45657</v>
      </c>
      <c r="H8" s="3"/>
      <c r="I8" s="3">
        <v>44286</v>
      </c>
      <c r="J8" s="3">
        <v>44377</v>
      </c>
      <c r="K8" s="3">
        <v>44469</v>
      </c>
      <c r="L8" s="3">
        <f>D8</f>
        <v>44561</v>
      </c>
      <c r="M8" s="3">
        <v>44651</v>
      </c>
      <c r="N8" s="3">
        <v>44742</v>
      </c>
      <c r="O8" s="3">
        <v>44834</v>
      </c>
      <c r="P8" s="3">
        <f>E8</f>
        <v>44926</v>
      </c>
      <c r="Q8" s="3">
        <v>45016</v>
      </c>
      <c r="R8" s="3">
        <v>45107</v>
      </c>
      <c r="S8" s="3">
        <v>45199</v>
      </c>
      <c r="T8" s="3">
        <f>F8</f>
        <v>45291</v>
      </c>
      <c r="U8" s="3">
        <v>45382</v>
      </c>
      <c r="V8" s="3">
        <v>45473</v>
      </c>
      <c r="W8" s="3">
        <v>45565</v>
      </c>
      <c r="X8" s="3">
        <f>G8</f>
        <v>45657</v>
      </c>
      <c r="Y8" s="3">
        <v>45747</v>
      </c>
      <c r="Z8" s="3">
        <v>45838</v>
      </c>
      <c r="AA8" s="3">
        <v>45930</v>
      </c>
      <c r="AB8" s="3"/>
      <c r="AC8" s="3">
        <f t="shared" si="0"/>
        <v>45291</v>
      </c>
      <c r="AD8" s="3">
        <f t="shared" si="0"/>
        <v>45382</v>
      </c>
      <c r="AE8" s="3">
        <f t="shared" si="0"/>
        <v>45473</v>
      </c>
      <c r="AF8" s="3">
        <f t="shared" si="0"/>
        <v>45565</v>
      </c>
      <c r="AG8" s="3">
        <f t="shared" si="0"/>
        <v>45657</v>
      </c>
      <c r="AH8" s="3">
        <f t="shared" si="0"/>
        <v>45747</v>
      </c>
      <c r="AI8" s="3">
        <f t="shared" si="0"/>
        <v>45838</v>
      </c>
      <c r="AJ8" s="3">
        <f t="shared" si="0"/>
        <v>45930</v>
      </c>
      <c r="AK8" s="38"/>
      <c r="AL8" s="168"/>
    </row>
    <row r="9" spans="1:38" ht="5.0999999999999996" customHeight="1">
      <c r="AL9" s="100"/>
    </row>
    <row r="10" spans="1:38" ht="12.75" customHeight="1">
      <c r="B10" s="9" t="s">
        <v>56</v>
      </c>
      <c r="C10" s="95">
        <v>9913</v>
      </c>
      <c r="D10" s="95">
        <v>11888</v>
      </c>
      <c r="E10" s="95">
        <v>12682</v>
      </c>
      <c r="F10" s="95">
        <v>14240</v>
      </c>
      <c r="G10" s="95">
        <v>16747</v>
      </c>
      <c r="H10" s="11"/>
      <c r="I10" s="95">
        <v>2752</v>
      </c>
      <c r="J10" s="95">
        <v>3077</v>
      </c>
      <c r="K10" s="95">
        <v>2932</v>
      </c>
      <c r="L10" s="32">
        <f t="shared" ref="L10" si="1">SUM(D10-SUM(I10:K10))</f>
        <v>3127</v>
      </c>
      <c r="M10" s="95">
        <v>3026</v>
      </c>
      <c r="N10" s="95">
        <v>3244</v>
      </c>
      <c r="O10" s="95">
        <v>3170</v>
      </c>
      <c r="P10" s="32">
        <f>SUM(E10-SUM(M10:O10))</f>
        <v>3242</v>
      </c>
      <c r="Q10" s="95">
        <v>3389</v>
      </c>
      <c r="R10" s="95">
        <v>3599</v>
      </c>
      <c r="S10" s="95">
        <v>3527</v>
      </c>
      <c r="T10" s="32">
        <f>SUM(F10-SUM(Q10:S10))</f>
        <v>3725</v>
      </c>
      <c r="U10" s="95">
        <v>3857</v>
      </c>
      <c r="V10" s="95">
        <v>4120</v>
      </c>
      <c r="W10" s="95">
        <v>4209</v>
      </c>
      <c r="X10" s="32">
        <f>SUM(G10-SUM(U10:W10))</f>
        <v>4561</v>
      </c>
      <c r="Y10" s="82">
        <v>4663</v>
      </c>
      <c r="Z10" s="82">
        <v>5061</v>
      </c>
      <c r="AA10" s="81">
        <v>5065</v>
      </c>
      <c r="AC10" s="32">
        <f t="shared" ref="AC10:AI10" si="2">SUM(Q10:T10)</f>
        <v>14240</v>
      </c>
      <c r="AD10" s="32">
        <f t="shared" si="2"/>
        <v>14708</v>
      </c>
      <c r="AE10" s="32">
        <f t="shared" si="2"/>
        <v>15229</v>
      </c>
      <c r="AF10" s="32">
        <f t="shared" si="2"/>
        <v>15911</v>
      </c>
      <c r="AG10" s="32">
        <f t="shared" si="2"/>
        <v>16747</v>
      </c>
      <c r="AH10" s="32">
        <f t="shared" si="2"/>
        <v>17553</v>
      </c>
      <c r="AI10" s="32">
        <f t="shared" si="2"/>
        <v>18494</v>
      </c>
      <c r="AJ10" s="32">
        <f>SUM(X10:AA10)</f>
        <v>19350</v>
      </c>
      <c r="AK10" s="40"/>
      <c r="AL10" s="12">
        <f>SUM(AJ10/AF10)-1</f>
        <v>0.21613977751241276</v>
      </c>
    </row>
    <row r="11" spans="1:38" ht="12.75" customHeight="1">
      <c r="B11" s="13" t="s">
        <v>12</v>
      </c>
      <c r="C11" s="14">
        <f t="shared" ref="C11:D11" si="3">+SUM(C10:C10)</f>
        <v>9913</v>
      </c>
      <c r="D11" s="14">
        <f t="shared" si="3"/>
        <v>11888</v>
      </c>
      <c r="E11" s="14">
        <f t="shared" ref="E11:G11" si="4">+SUM(E10:E10)</f>
        <v>12682</v>
      </c>
      <c r="F11" s="14">
        <f t="shared" si="4"/>
        <v>14240</v>
      </c>
      <c r="G11" s="14">
        <f t="shared" si="4"/>
        <v>16747</v>
      </c>
      <c r="H11" s="11"/>
      <c r="I11" s="14">
        <f t="shared" ref="I11:O11" si="5">+SUM(I10:I10)</f>
        <v>2752</v>
      </c>
      <c r="J11" s="14">
        <f t="shared" ref="J11:L11" si="6">+SUM(J10:J10)</f>
        <v>3077</v>
      </c>
      <c r="K11" s="14">
        <f t="shared" si="6"/>
        <v>2932</v>
      </c>
      <c r="L11" s="14">
        <f t="shared" si="6"/>
        <v>3127</v>
      </c>
      <c r="M11" s="14">
        <f t="shared" si="5"/>
        <v>3026</v>
      </c>
      <c r="N11" s="14">
        <f t="shared" si="5"/>
        <v>3244</v>
      </c>
      <c r="O11" s="14">
        <f t="shared" si="5"/>
        <v>3170</v>
      </c>
      <c r="P11" s="14">
        <f t="shared" ref="P11" si="7">+SUM(P10:P10)</f>
        <v>3242</v>
      </c>
      <c r="Q11" s="14">
        <f t="shared" ref="Q11:Z11" si="8">+SUM(Q10:Q10)</f>
        <v>3389</v>
      </c>
      <c r="R11" s="14">
        <f t="shared" si="8"/>
        <v>3599</v>
      </c>
      <c r="S11" s="14">
        <f t="shared" si="8"/>
        <v>3527</v>
      </c>
      <c r="T11" s="14">
        <f t="shared" si="8"/>
        <v>3725</v>
      </c>
      <c r="U11" s="14">
        <f t="shared" si="8"/>
        <v>3857</v>
      </c>
      <c r="V11" s="14">
        <f t="shared" si="8"/>
        <v>4120</v>
      </c>
      <c r="W11" s="14">
        <f t="shared" si="8"/>
        <v>4209</v>
      </c>
      <c r="X11" s="14">
        <f t="shared" si="8"/>
        <v>4561</v>
      </c>
      <c r="Y11" s="14">
        <f t="shared" si="8"/>
        <v>4663</v>
      </c>
      <c r="Z11" s="14">
        <f t="shared" si="8"/>
        <v>5061</v>
      </c>
      <c r="AA11" s="14">
        <f>+SUM(AA10:AA10)</f>
        <v>5065</v>
      </c>
      <c r="AC11" s="14">
        <f t="shared" ref="AC11:AI11" si="9">+SUM(AC10:AC10)</f>
        <v>14240</v>
      </c>
      <c r="AD11" s="14">
        <f t="shared" si="9"/>
        <v>14708</v>
      </c>
      <c r="AE11" s="14">
        <f t="shared" si="9"/>
        <v>15229</v>
      </c>
      <c r="AF11" s="14">
        <f t="shared" si="9"/>
        <v>15911</v>
      </c>
      <c r="AG11" s="14">
        <f t="shared" si="9"/>
        <v>16747</v>
      </c>
      <c r="AH11" s="14">
        <f t="shared" si="9"/>
        <v>17553</v>
      </c>
      <c r="AI11" s="14">
        <f t="shared" si="9"/>
        <v>18494</v>
      </c>
      <c r="AJ11" s="14">
        <f>+SUM(AJ10:AJ10)</f>
        <v>19350</v>
      </c>
      <c r="AK11" s="40"/>
      <c r="AL11" s="15">
        <f>SUM(AJ11/AF11)-1</f>
        <v>0.21613977751241276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148</v>
      </c>
      <c r="C13" s="82">
        <v>-3465</v>
      </c>
      <c r="D13" s="82">
        <v>-3711</v>
      </c>
      <c r="E13" s="82">
        <v>-3956</v>
      </c>
      <c r="F13" s="82">
        <v>-4345</v>
      </c>
      <c r="G13" s="82">
        <v>-5257</v>
      </c>
      <c r="H13" s="32"/>
      <c r="I13" s="82">
        <v>-894</v>
      </c>
      <c r="J13" s="82">
        <v>-945</v>
      </c>
      <c r="K13" s="82">
        <v>-900</v>
      </c>
      <c r="L13" s="32">
        <f t="shared" ref="L13" si="10">SUM(D13-SUM(I13:K13))</f>
        <v>-972</v>
      </c>
      <c r="M13" s="82">
        <v>-955</v>
      </c>
      <c r="N13" s="82">
        <v>-1011</v>
      </c>
      <c r="O13" s="82">
        <v>-979</v>
      </c>
      <c r="P13" s="32">
        <f>SUM(E13-SUM(M13:O13))</f>
        <v>-1011</v>
      </c>
      <c r="Q13" s="82">
        <v>-1040</v>
      </c>
      <c r="R13" s="82">
        <v>-1058</v>
      </c>
      <c r="S13" s="82">
        <v>-1101</v>
      </c>
      <c r="T13" s="32">
        <f>SUM(F13-SUM(Q13:S13))</f>
        <v>-1146</v>
      </c>
      <c r="U13" s="82">
        <v>-1209</v>
      </c>
      <c r="V13" s="82">
        <v>-1270</v>
      </c>
      <c r="W13" s="82">
        <v>-1312</v>
      </c>
      <c r="X13" s="32">
        <f>SUM(G13-SUM(U13:W13))</f>
        <v>-1466</v>
      </c>
      <c r="Y13" s="82">
        <v>-1453</v>
      </c>
      <c r="Z13" s="82">
        <v>-1637</v>
      </c>
      <c r="AA13" s="82">
        <v>-1523</v>
      </c>
      <c r="AB13" s="5"/>
      <c r="AC13" s="32">
        <f t="shared" ref="AC13:AI13" si="11">SUM(Q13:T13)</f>
        <v>-4345</v>
      </c>
      <c r="AD13" s="32">
        <f t="shared" si="11"/>
        <v>-4514</v>
      </c>
      <c r="AE13" s="32">
        <f t="shared" si="11"/>
        <v>-4726</v>
      </c>
      <c r="AF13" s="32">
        <f t="shared" si="11"/>
        <v>-4937</v>
      </c>
      <c r="AG13" s="32">
        <f t="shared" si="11"/>
        <v>-5257</v>
      </c>
      <c r="AH13" s="32">
        <f t="shared" si="11"/>
        <v>-5501</v>
      </c>
      <c r="AI13" s="32">
        <f t="shared" si="11"/>
        <v>-5868</v>
      </c>
      <c r="AJ13" s="32">
        <f>SUM(X13:AA13)</f>
        <v>-6079</v>
      </c>
      <c r="AK13" s="11"/>
      <c r="AL13" s="75">
        <f t="shared" ref="AL13" si="12">SUM(AJ13/AF13)-1</f>
        <v>0.23131456350010127</v>
      </c>
    </row>
    <row r="14" spans="1:38" s="20" customFormat="1">
      <c r="B14" s="25" t="s">
        <v>20</v>
      </c>
      <c r="C14" s="26">
        <f t="shared" ref="C14" si="13">SUM(C11+C13)</f>
        <v>6448</v>
      </c>
      <c r="D14" s="26">
        <f t="shared" ref="D14" si="14">SUM(D11+D13)</f>
        <v>8177</v>
      </c>
      <c r="E14" s="26">
        <f t="shared" ref="E14:G14" si="15">SUM(E11+E13)</f>
        <v>8726</v>
      </c>
      <c r="F14" s="26">
        <f t="shared" si="15"/>
        <v>9895</v>
      </c>
      <c r="G14" s="26">
        <f t="shared" si="15"/>
        <v>11490</v>
      </c>
      <c r="H14" s="32"/>
      <c r="I14" s="26">
        <f t="shared" ref="I14" si="16">SUM(I11+I13)</f>
        <v>1858</v>
      </c>
      <c r="J14" s="26">
        <f t="shared" ref="J14" si="17">SUM(J11+J13)</f>
        <v>2132</v>
      </c>
      <c r="K14" s="26">
        <f t="shared" ref="K14" si="18">SUM(K11+K13)</f>
        <v>2032</v>
      </c>
      <c r="L14" s="26">
        <f t="shared" ref="L14" si="19">SUM(L11+L13)</f>
        <v>2155</v>
      </c>
      <c r="M14" s="26">
        <f t="shared" ref="M14" si="20">SUM(M11+M13)</f>
        <v>2071</v>
      </c>
      <c r="N14" s="26">
        <f t="shared" ref="N14" si="21">SUM(N11+N13)</f>
        <v>2233</v>
      </c>
      <c r="O14" s="26">
        <f t="shared" ref="O14" si="22">SUM(O11+O13)</f>
        <v>2191</v>
      </c>
      <c r="P14" s="26">
        <f t="shared" ref="P14" si="23">SUM(P11+P13)</f>
        <v>2231</v>
      </c>
      <c r="Q14" s="26">
        <f t="shared" ref="Q14" si="24">SUM(Q11+Q13)</f>
        <v>2349</v>
      </c>
      <c r="R14" s="26">
        <f t="shared" ref="R14" si="25">SUM(R11+R13)</f>
        <v>2541</v>
      </c>
      <c r="S14" s="26">
        <f t="shared" ref="S14" si="26">SUM(S11+S13)</f>
        <v>2426</v>
      </c>
      <c r="T14" s="26">
        <f t="shared" ref="T14" si="27">SUM(T11+T13)</f>
        <v>2579</v>
      </c>
      <c r="U14" s="26">
        <f t="shared" ref="U14" si="28">SUM(U11+U13)</f>
        <v>2648</v>
      </c>
      <c r="V14" s="26">
        <f t="shared" ref="V14" si="29">SUM(V11+V13)</f>
        <v>2850</v>
      </c>
      <c r="W14" s="26">
        <f t="shared" ref="W14" si="30">SUM(W11+W13)</f>
        <v>2897</v>
      </c>
      <c r="X14" s="26">
        <f t="shared" ref="X14" si="31">SUM(X11+X13)</f>
        <v>3095</v>
      </c>
      <c r="Y14" s="26">
        <f t="shared" ref="Y14" si="32">SUM(Y11+Y13)</f>
        <v>3210</v>
      </c>
      <c r="Z14" s="26">
        <f t="shared" ref="Z14" si="33">SUM(Z11+Z13)</f>
        <v>3424</v>
      </c>
      <c r="AA14" s="26">
        <f t="shared" ref="AA14" si="34">SUM(AA11+AA13)</f>
        <v>3542</v>
      </c>
      <c r="AB14" s="5"/>
      <c r="AC14" s="26">
        <f t="shared" ref="AC14" si="35">SUM(AC11+AC13)</f>
        <v>9895</v>
      </c>
      <c r="AD14" s="26">
        <f t="shared" ref="AD14" si="36">SUM(AD11+AD13)</f>
        <v>10194</v>
      </c>
      <c r="AE14" s="26">
        <f t="shared" ref="AE14" si="37">SUM(AE11+AE13)</f>
        <v>10503</v>
      </c>
      <c r="AF14" s="26">
        <f t="shared" ref="AF14" si="38">SUM(AF11+AF13)</f>
        <v>10974</v>
      </c>
      <c r="AG14" s="26">
        <f t="shared" ref="AG14" si="39">SUM(AG11+AG13)</f>
        <v>11490</v>
      </c>
      <c r="AH14" s="26">
        <f t="shared" ref="AH14" si="40">SUM(AH11+AH13)</f>
        <v>12052</v>
      </c>
      <c r="AI14" s="26">
        <f t="shared" ref="AI14" si="41">SUM(AI11+AI13)</f>
        <v>12626</v>
      </c>
      <c r="AJ14" s="26">
        <f t="shared" ref="AJ14" si="42">SUM(AJ11+AJ13)</f>
        <v>13271</v>
      </c>
      <c r="AK14" s="11"/>
      <c r="AL14" s="76">
        <f>SUM(AJ14/AF14)-1</f>
        <v>0.20931292145070168</v>
      </c>
    </row>
    <row r="15" spans="1:38" s="20" customFormat="1">
      <c r="B15" s="16" t="s">
        <v>29</v>
      </c>
      <c r="C15" s="17">
        <f t="shared" ref="C15" si="43">C14/C11</f>
        <v>0.65045899324119838</v>
      </c>
      <c r="D15" s="17">
        <f t="shared" ref="D15" si="44">D14/D11</f>
        <v>0.68783647375504708</v>
      </c>
      <c r="E15" s="17">
        <f t="shared" ref="E15:G15" si="45">E14/E11</f>
        <v>0.68806181990222359</v>
      </c>
      <c r="F15" s="17">
        <f t="shared" si="45"/>
        <v>0.694873595505618</v>
      </c>
      <c r="G15" s="17">
        <f t="shared" si="45"/>
        <v>0.68609303158774704</v>
      </c>
      <c r="H15" s="32"/>
      <c r="I15" s="17">
        <f t="shared" ref="I15" si="46">I14/I11</f>
        <v>0.67514534883720934</v>
      </c>
      <c r="J15" s="17">
        <f t="shared" ref="J15" si="47">J14/J11</f>
        <v>0.69288267793305169</v>
      </c>
      <c r="K15" s="17">
        <f t="shared" ref="K15" si="48">K14/K11</f>
        <v>0.69304229195088674</v>
      </c>
      <c r="L15" s="17">
        <f t="shared" ref="L15" si="49">L14/L11</f>
        <v>0.68915893827950114</v>
      </c>
      <c r="M15" s="17">
        <f t="shared" ref="M15" si="50">M14/M11</f>
        <v>0.68440185062789161</v>
      </c>
      <c r="N15" s="17">
        <f t="shared" ref="N15" si="51">N14/N11</f>
        <v>0.68834771886559798</v>
      </c>
      <c r="O15" s="17">
        <f t="shared" ref="O15" si="52">O14/O11</f>
        <v>0.69116719242902214</v>
      </c>
      <c r="P15" s="17">
        <f t="shared" ref="P15" si="53">P14/P11</f>
        <v>0.68815545959284397</v>
      </c>
      <c r="Q15" s="17">
        <f t="shared" ref="Q15" si="54">Q14/Q11</f>
        <v>0.69312481557981709</v>
      </c>
      <c r="R15" s="17">
        <f t="shared" ref="R15" si="55">R14/R11</f>
        <v>0.70602945262572936</v>
      </c>
      <c r="S15" s="17">
        <f t="shared" ref="S15" si="56">S14/S11</f>
        <v>0.68783668840374257</v>
      </c>
      <c r="T15" s="17">
        <f t="shared" ref="T15" si="57">T14/T11</f>
        <v>0.69234899328859056</v>
      </c>
      <c r="U15" s="17">
        <f t="shared" ref="U15" si="58">U14/U11</f>
        <v>0.68654394607207669</v>
      </c>
      <c r="V15" s="17">
        <f t="shared" ref="V15" si="59">V14/V11</f>
        <v>0.69174757281553401</v>
      </c>
      <c r="W15" s="17">
        <f t="shared" ref="W15" si="60">W14/W11</f>
        <v>0.68828700403896415</v>
      </c>
      <c r="X15" s="17">
        <f t="shared" ref="X15" si="61">X14/X11</f>
        <v>0.67857925893444415</v>
      </c>
      <c r="Y15" s="17">
        <f t="shared" ref="Y15" si="62">Y14/Y11</f>
        <v>0.68839802702123098</v>
      </c>
      <c r="Z15" s="17">
        <f t="shared" ref="Z15" si="63">Z14/Z11</f>
        <v>0.67654613712705003</v>
      </c>
      <c r="AA15" s="17">
        <f t="shared" ref="AA15" si="64">AA14/AA11</f>
        <v>0.69930898321816382</v>
      </c>
      <c r="AB15" s="5"/>
      <c r="AC15" s="17">
        <f t="shared" ref="AC15" si="65">AC14/AC11</f>
        <v>0.694873595505618</v>
      </c>
      <c r="AD15" s="17">
        <f t="shared" ref="AD15" si="66">AD14/AD11</f>
        <v>0.69309219472395978</v>
      </c>
      <c r="AE15" s="17">
        <f t="shared" ref="AE15" si="67">AE14/AE11</f>
        <v>0.68967102239148992</v>
      </c>
      <c r="AF15" s="17">
        <f t="shared" ref="AF15" si="68">AF14/AF11</f>
        <v>0.68971152033184591</v>
      </c>
      <c r="AG15" s="17">
        <f t="shared" ref="AG15" si="69">AG14/AG11</f>
        <v>0.68609303158774704</v>
      </c>
      <c r="AH15" s="17">
        <f t="shared" ref="AH15" si="70">AH14/AH11</f>
        <v>0.68660627812909469</v>
      </c>
      <c r="AI15" s="17">
        <f t="shared" ref="AI15" si="71">AI14/AI11</f>
        <v>0.68270790526657299</v>
      </c>
      <c r="AJ15" s="17">
        <f t="shared" ref="AJ15" si="72">AJ14/AJ11</f>
        <v>0.68583979328165379</v>
      </c>
      <c r="AK15" s="11"/>
      <c r="AL15" s="77">
        <f>SUM(AJ15-AF15)*1000</f>
        <v>-3.8717270501921197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192</v>
      </c>
      <c r="C17" s="82">
        <v>-3787</v>
      </c>
      <c r="D17" s="82">
        <v>-4359</v>
      </c>
      <c r="E17" s="82">
        <v>-4520</v>
      </c>
      <c r="F17" s="82">
        <v>-5190</v>
      </c>
      <c r="G17" s="82">
        <v>-5984</v>
      </c>
      <c r="H17" s="32"/>
      <c r="I17" s="82">
        <v>-1019</v>
      </c>
      <c r="J17" s="82">
        <v>-1121</v>
      </c>
      <c r="K17" s="82">
        <v>-1066</v>
      </c>
      <c r="L17" s="32">
        <f t="shared" ref="L17:L25" si="73">SUM(D17-SUM(I17:K17))</f>
        <v>-1153</v>
      </c>
      <c r="M17" s="82">
        <v>-1060</v>
      </c>
      <c r="N17" s="82">
        <v>-1165</v>
      </c>
      <c r="O17" s="82">
        <v>-1132</v>
      </c>
      <c r="P17" s="32">
        <f t="shared" ref="P17:P25" si="74">SUM(E17-SUM(M17:O17))</f>
        <v>-1163</v>
      </c>
      <c r="Q17" s="82">
        <v>-1215</v>
      </c>
      <c r="R17" s="82">
        <v>-1354</v>
      </c>
      <c r="S17" s="82">
        <v>-1242</v>
      </c>
      <c r="T17" s="32">
        <f t="shared" ref="T17:T25" si="75">SUM(F17-SUM(Q17:S17))</f>
        <v>-1379</v>
      </c>
      <c r="U17" s="82">
        <v>-1364</v>
      </c>
      <c r="V17" s="82">
        <v>-1446</v>
      </c>
      <c r="W17" s="82">
        <v>-1562</v>
      </c>
      <c r="X17" s="32">
        <f t="shared" ref="X17:X25" si="76">SUM(G17-SUM(U17:W17))</f>
        <v>-1612</v>
      </c>
      <c r="Y17" s="82">
        <v>-1597</v>
      </c>
      <c r="Z17" s="82">
        <v>-1716</v>
      </c>
      <c r="AA17" s="82">
        <v>-1741</v>
      </c>
      <c r="AC17" s="32">
        <f t="shared" ref="AC17:AC25" si="77">SUM(Q17:T17)</f>
        <v>-5190</v>
      </c>
      <c r="AD17" s="32">
        <f t="shared" ref="AD17:AD25" si="78">SUM(R17:U17)</f>
        <v>-5339</v>
      </c>
      <c r="AE17" s="32">
        <f t="shared" ref="AE17:AE25" si="79">SUM(S17:V17)</f>
        <v>-5431</v>
      </c>
      <c r="AF17" s="32">
        <f t="shared" ref="AF17:AF25" si="80">SUM(T17:W17)</f>
        <v>-5751</v>
      </c>
      <c r="AG17" s="32">
        <f t="shared" ref="AG17:AG25" si="81">SUM(U17:X17)</f>
        <v>-5984</v>
      </c>
      <c r="AH17" s="32">
        <f t="shared" ref="AH17:AH25" si="82">SUM(V17:Y17)</f>
        <v>-6217</v>
      </c>
      <c r="AI17" s="32">
        <f t="shared" ref="AI17:AI25" si="83">SUM(W17:Z17)</f>
        <v>-6487</v>
      </c>
      <c r="AJ17" s="32">
        <f t="shared" ref="AJ17:AJ25" si="84">SUM(X17:AA17)</f>
        <v>-6666</v>
      </c>
      <c r="AK17" s="11"/>
      <c r="AL17" s="75">
        <f>SUM(AJ17/AF17)-1</f>
        <v>0.15910276473656748</v>
      </c>
    </row>
    <row r="18" spans="2:38" ht="12.75" customHeight="1">
      <c r="B18" s="9" t="s">
        <v>191</v>
      </c>
      <c r="C18" s="82">
        <v>-1143</v>
      </c>
      <c r="D18" s="82">
        <v>-1204</v>
      </c>
      <c r="E18" s="82">
        <v>-1323</v>
      </c>
      <c r="F18" s="82">
        <v>-1414</v>
      </c>
      <c r="G18" s="82">
        <v>-1615</v>
      </c>
      <c r="H18" s="32"/>
      <c r="I18" s="82">
        <v>-276</v>
      </c>
      <c r="J18" s="82">
        <v>-298</v>
      </c>
      <c r="K18" s="82">
        <v>-310</v>
      </c>
      <c r="L18" s="32">
        <f t="shared" si="73"/>
        <v>-320</v>
      </c>
      <c r="M18" s="82">
        <v>-319</v>
      </c>
      <c r="N18" s="82">
        <v>-335</v>
      </c>
      <c r="O18" s="82">
        <v>-339</v>
      </c>
      <c r="P18" s="32">
        <f t="shared" si="74"/>
        <v>-330</v>
      </c>
      <c r="Q18" s="82">
        <v>-337</v>
      </c>
      <c r="R18" s="82">
        <v>-359</v>
      </c>
      <c r="S18" s="82">
        <v>-356</v>
      </c>
      <c r="T18" s="32">
        <f t="shared" si="75"/>
        <v>-362</v>
      </c>
      <c r="U18" s="82">
        <v>-366</v>
      </c>
      <c r="V18" s="82">
        <v>-383</v>
      </c>
      <c r="W18" s="82">
        <v>-407</v>
      </c>
      <c r="X18" s="32">
        <f t="shared" si="76"/>
        <v>-459</v>
      </c>
      <c r="Y18" s="82">
        <v>-443</v>
      </c>
      <c r="Z18" s="82">
        <v>-526</v>
      </c>
      <c r="AA18" s="82">
        <v>-514</v>
      </c>
      <c r="AC18" s="32">
        <f t="shared" si="77"/>
        <v>-1414</v>
      </c>
      <c r="AD18" s="32">
        <f t="shared" si="78"/>
        <v>-1443</v>
      </c>
      <c r="AE18" s="32">
        <f t="shared" si="79"/>
        <v>-1467</v>
      </c>
      <c r="AF18" s="32">
        <f t="shared" si="80"/>
        <v>-1518</v>
      </c>
      <c r="AG18" s="32">
        <f t="shared" si="81"/>
        <v>-1615</v>
      </c>
      <c r="AH18" s="32">
        <f t="shared" si="82"/>
        <v>-1692</v>
      </c>
      <c r="AI18" s="32">
        <f t="shared" si="83"/>
        <v>-1835</v>
      </c>
      <c r="AJ18" s="32">
        <f t="shared" si="84"/>
        <v>-1942</v>
      </c>
      <c r="AK18" s="11"/>
      <c r="AL18" s="75">
        <f t="shared" ref="AL18:AL23" si="85">SUM(AJ18/AF18)-1</f>
        <v>0.27931488801054027</v>
      </c>
    </row>
    <row r="19" spans="2:38" ht="12.75" customHeight="1">
      <c r="B19" s="9" t="s">
        <v>174</v>
      </c>
      <c r="C19" s="82">
        <v>-45</v>
      </c>
      <c r="D19" s="82">
        <v>-49</v>
      </c>
      <c r="E19" s="82">
        <v>-47</v>
      </c>
      <c r="F19" s="82">
        <v>-46</v>
      </c>
      <c r="G19" s="82">
        <v>-33</v>
      </c>
      <c r="H19" s="32"/>
      <c r="I19" s="82">
        <v>-12</v>
      </c>
      <c r="J19" s="82">
        <v>-12</v>
      </c>
      <c r="K19" s="82">
        <v>-14</v>
      </c>
      <c r="L19" s="32">
        <f t="shared" si="73"/>
        <v>-11</v>
      </c>
      <c r="M19" s="82">
        <v>-12</v>
      </c>
      <c r="N19" s="82">
        <v>-11</v>
      </c>
      <c r="O19" s="82">
        <v>-11</v>
      </c>
      <c r="P19" s="32">
        <f t="shared" si="74"/>
        <v>-13</v>
      </c>
      <c r="Q19" s="82">
        <v>-11</v>
      </c>
      <c r="R19" s="82">
        <v>-12</v>
      </c>
      <c r="S19" s="82">
        <v>-11</v>
      </c>
      <c r="T19" s="32">
        <f t="shared" si="75"/>
        <v>-12</v>
      </c>
      <c r="U19" s="82">
        <v>-10</v>
      </c>
      <c r="V19" s="82">
        <v>-9</v>
      </c>
      <c r="W19" s="82">
        <v>-5</v>
      </c>
      <c r="X19" s="32">
        <f t="shared" si="76"/>
        <v>-9</v>
      </c>
      <c r="Y19" s="82">
        <v>-14</v>
      </c>
      <c r="Z19" s="82">
        <v>-14</v>
      </c>
      <c r="AA19" s="82">
        <v>-12</v>
      </c>
      <c r="AC19" s="32">
        <f t="shared" si="77"/>
        <v>-46</v>
      </c>
      <c r="AD19" s="32">
        <f t="shared" si="78"/>
        <v>-45</v>
      </c>
      <c r="AE19" s="32">
        <f t="shared" si="79"/>
        <v>-42</v>
      </c>
      <c r="AF19" s="32">
        <f t="shared" si="80"/>
        <v>-36</v>
      </c>
      <c r="AG19" s="32">
        <f t="shared" si="81"/>
        <v>-33</v>
      </c>
      <c r="AH19" s="32">
        <f t="shared" si="82"/>
        <v>-37</v>
      </c>
      <c r="AI19" s="32">
        <f t="shared" si="83"/>
        <v>-42</v>
      </c>
      <c r="AJ19" s="32">
        <f t="shared" si="84"/>
        <v>-49</v>
      </c>
      <c r="AK19" s="11"/>
      <c r="AL19" s="75">
        <f t="shared" si="85"/>
        <v>0.36111111111111116</v>
      </c>
    </row>
    <row r="20" spans="2:38" ht="12.75" customHeight="1">
      <c r="B20" s="9" t="s">
        <v>175</v>
      </c>
      <c r="C20" s="82">
        <v>-789</v>
      </c>
      <c r="D20" s="82">
        <v>-741</v>
      </c>
      <c r="E20" s="82">
        <v>-803</v>
      </c>
      <c r="F20" s="82">
        <v>-828</v>
      </c>
      <c r="G20" s="82">
        <v>-856</v>
      </c>
      <c r="H20" s="32"/>
      <c r="I20" s="82">
        <v>-185</v>
      </c>
      <c r="J20" s="82">
        <v>-180</v>
      </c>
      <c r="K20" s="82">
        <v>-184</v>
      </c>
      <c r="L20" s="32">
        <f t="shared" si="73"/>
        <v>-192</v>
      </c>
      <c r="M20" s="82">
        <v>-198</v>
      </c>
      <c r="N20" s="82">
        <v>-204</v>
      </c>
      <c r="O20" s="82">
        <v>-202</v>
      </c>
      <c r="P20" s="32">
        <f t="shared" si="74"/>
        <v>-199</v>
      </c>
      <c r="Q20" s="82">
        <v>-203</v>
      </c>
      <c r="R20" s="82">
        <v>-210</v>
      </c>
      <c r="S20" s="82">
        <v>-208</v>
      </c>
      <c r="T20" s="32">
        <f t="shared" si="75"/>
        <v>-207</v>
      </c>
      <c r="U20" s="82">
        <v>-214</v>
      </c>
      <c r="V20" s="82">
        <v>-213</v>
      </c>
      <c r="W20" s="82">
        <v>-205</v>
      </c>
      <c r="X20" s="32">
        <f t="shared" si="76"/>
        <v>-224</v>
      </c>
      <c r="Y20" s="82">
        <v>-219</v>
      </c>
      <c r="Z20" s="82">
        <v>-225</v>
      </c>
      <c r="AA20" s="82">
        <v>-225</v>
      </c>
      <c r="AC20" s="32">
        <f t="shared" si="77"/>
        <v>-828</v>
      </c>
      <c r="AD20" s="32">
        <f t="shared" si="78"/>
        <v>-839</v>
      </c>
      <c r="AE20" s="32">
        <f t="shared" si="79"/>
        <v>-842</v>
      </c>
      <c r="AF20" s="32">
        <f t="shared" si="80"/>
        <v>-839</v>
      </c>
      <c r="AG20" s="32">
        <f t="shared" si="81"/>
        <v>-856</v>
      </c>
      <c r="AH20" s="32">
        <f t="shared" si="82"/>
        <v>-861</v>
      </c>
      <c r="AI20" s="32">
        <f t="shared" si="83"/>
        <v>-873</v>
      </c>
      <c r="AJ20" s="32">
        <f t="shared" si="84"/>
        <v>-893</v>
      </c>
      <c r="AK20" s="11"/>
      <c r="AL20" s="75">
        <f t="shared" ref="AL20:AL21" si="86">SUM(AJ20/AF20)-1</f>
        <v>6.4362336114421881E-2</v>
      </c>
    </row>
    <row r="21" spans="2:38" ht="12.75" customHeight="1">
      <c r="B21" s="9" t="s">
        <v>193</v>
      </c>
      <c r="C21" s="82">
        <v>-460</v>
      </c>
      <c r="D21" s="82">
        <v>-370</v>
      </c>
      <c r="E21" s="82">
        <v>-132</v>
      </c>
      <c r="F21" s="82">
        <v>-58</v>
      </c>
      <c r="G21" s="82">
        <v>-386</v>
      </c>
      <c r="H21" s="32"/>
      <c r="I21" s="82">
        <v>6</v>
      </c>
      <c r="J21" s="82">
        <v>-45</v>
      </c>
      <c r="K21" s="82">
        <v>-128</v>
      </c>
      <c r="L21" s="32">
        <f t="shared" si="73"/>
        <v>-203</v>
      </c>
      <c r="M21" s="82">
        <v>-12</v>
      </c>
      <c r="N21" s="82">
        <v>-7</v>
      </c>
      <c r="O21" s="82">
        <v>-125</v>
      </c>
      <c r="P21" s="32">
        <f t="shared" si="74"/>
        <v>12</v>
      </c>
      <c r="Q21" s="82">
        <v>0</v>
      </c>
      <c r="R21" s="82">
        <v>-57</v>
      </c>
      <c r="S21" s="82">
        <v>-1</v>
      </c>
      <c r="T21" s="32">
        <f t="shared" si="75"/>
        <v>0</v>
      </c>
      <c r="U21" s="82">
        <v>-17</v>
      </c>
      <c r="V21" s="82">
        <v>-276</v>
      </c>
      <c r="W21" s="82">
        <v>0</v>
      </c>
      <c r="X21" s="32">
        <f t="shared" si="76"/>
        <v>-93</v>
      </c>
      <c r="Y21" s="82">
        <v>0</v>
      </c>
      <c r="Z21" s="82">
        <v>-46</v>
      </c>
      <c r="AA21" s="82">
        <v>0</v>
      </c>
      <c r="AC21" s="32">
        <f t="shared" si="77"/>
        <v>-58</v>
      </c>
      <c r="AD21" s="32">
        <f t="shared" si="78"/>
        <v>-75</v>
      </c>
      <c r="AE21" s="32">
        <f t="shared" si="79"/>
        <v>-294</v>
      </c>
      <c r="AF21" s="32">
        <f t="shared" si="80"/>
        <v>-293</v>
      </c>
      <c r="AG21" s="32">
        <f t="shared" si="81"/>
        <v>-386</v>
      </c>
      <c r="AH21" s="32">
        <f t="shared" si="82"/>
        <v>-369</v>
      </c>
      <c r="AI21" s="32">
        <f t="shared" si="83"/>
        <v>-139</v>
      </c>
      <c r="AJ21" s="32">
        <f t="shared" si="84"/>
        <v>-139</v>
      </c>
      <c r="AK21" s="11"/>
      <c r="AL21" s="75">
        <f t="shared" si="86"/>
        <v>-0.52559726962457343</v>
      </c>
    </row>
    <row r="22" spans="2:38" ht="12.75" customHeight="1">
      <c r="B22" s="9" t="s">
        <v>176</v>
      </c>
      <c r="C22" s="82">
        <v>100</v>
      </c>
      <c r="D22" s="82">
        <v>136</v>
      </c>
      <c r="E22" s="82">
        <v>-35</v>
      </c>
      <c r="F22" s="82">
        <v>-58</v>
      </c>
      <c r="G22" s="82">
        <v>5</v>
      </c>
      <c r="H22" s="32"/>
      <c r="I22" s="82">
        <v>-5</v>
      </c>
      <c r="J22" s="82">
        <v>85</v>
      </c>
      <c r="K22" s="82">
        <v>26</v>
      </c>
      <c r="L22" s="32">
        <f t="shared" si="73"/>
        <v>30</v>
      </c>
      <c r="M22" s="82">
        <v>-4</v>
      </c>
      <c r="N22" s="82">
        <v>-36</v>
      </c>
      <c r="O22" s="82">
        <v>-20</v>
      </c>
      <c r="P22" s="32">
        <f t="shared" si="74"/>
        <v>25</v>
      </c>
      <c r="Q22" s="82">
        <v>0</v>
      </c>
      <c r="R22" s="82">
        <v>-19</v>
      </c>
      <c r="S22" s="82">
        <v>-11</v>
      </c>
      <c r="T22" s="32">
        <f t="shared" si="75"/>
        <v>-28</v>
      </c>
      <c r="U22" s="82">
        <v>0</v>
      </c>
      <c r="V22" s="82">
        <v>-2</v>
      </c>
      <c r="W22" s="82">
        <v>23</v>
      </c>
      <c r="X22" s="32">
        <f t="shared" si="76"/>
        <v>-16</v>
      </c>
      <c r="Y22" s="82">
        <v>-6</v>
      </c>
      <c r="Z22" s="82">
        <v>5</v>
      </c>
      <c r="AA22" s="82">
        <v>-11</v>
      </c>
      <c r="AC22" s="32">
        <f t="shared" si="77"/>
        <v>-58</v>
      </c>
      <c r="AD22" s="32">
        <f t="shared" si="78"/>
        <v>-58</v>
      </c>
      <c r="AE22" s="32">
        <f t="shared" si="79"/>
        <v>-41</v>
      </c>
      <c r="AF22" s="32">
        <f t="shared" si="80"/>
        <v>-7</v>
      </c>
      <c r="AG22" s="32">
        <f t="shared" si="81"/>
        <v>5</v>
      </c>
      <c r="AH22" s="32">
        <f t="shared" si="82"/>
        <v>-1</v>
      </c>
      <c r="AI22" s="32">
        <f t="shared" si="83"/>
        <v>6</v>
      </c>
      <c r="AJ22" s="32">
        <f t="shared" si="84"/>
        <v>-28</v>
      </c>
      <c r="AK22" s="11"/>
      <c r="AL22" s="75">
        <f t="shared" si="85"/>
        <v>3</v>
      </c>
    </row>
    <row r="23" spans="2:38" ht="12.75" customHeight="1">
      <c r="B23" s="9" t="s">
        <v>177</v>
      </c>
      <c r="C23" s="82">
        <v>-52</v>
      </c>
      <c r="D23" s="82">
        <v>-40</v>
      </c>
      <c r="E23" s="82">
        <v>-24</v>
      </c>
      <c r="F23" s="82">
        <v>-69</v>
      </c>
      <c r="G23" s="82">
        <v>-16</v>
      </c>
      <c r="H23" s="32"/>
      <c r="I23" s="82">
        <v>-3</v>
      </c>
      <c r="J23" s="82">
        <v>-3</v>
      </c>
      <c r="K23" s="82">
        <v>-9</v>
      </c>
      <c r="L23" s="32">
        <f t="shared" si="73"/>
        <v>-25</v>
      </c>
      <c r="M23" s="82">
        <v>0</v>
      </c>
      <c r="N23" s="82">
        <v>-10</v>
      </c>
      <c r="O23" s="82">
        <v>-4</v>
      </c>
      <c r="P23" s="32">
        <f t="shared" si="74"/>
        <v>-10</v>
      </c>
      <c r="Q23" s="82">
        <v>-11</v>
      </c>
      <c r="R23" s="82">
        <v>-16</v>
      </c>
      <c r="S23" s="82">
        <v>-15</v>
      </c>
      <c r="T23" s="32">
        <f t="shared" si="75"/>
        <v>-27</v>
      </c>
      <c r="U23" s="82">
        <v>-2</v>
      </c>
      <c r="V23" s="82">
        <v>-1</v>
      </c>
      <c r="W23" s="82">
        <v>-8</v>
      </c>
      <c r="X23" s="32">
        <f t="shared" si="76"/>
        <v>-5</v>
      </c>
      <c r="Y23" s="82">
        <v>-10</v>
      </c>
      <c r="Z23" s="82">
        <v>-83</v>
      </c>
      <c r="AA23" s="82">
        <v>9</v>
      </c>
      <c r="AC23" s="32">
        <f t="shared" si="77"/>
        <v>-69</v>
      </c>
      <c r="AD23" s="32">
        <f t="shared" si="78"/>
        <v>-60</v>
      </c>
      <c r="AE23" s="32">
        <f t="shared" si="79"/>
        <v>-45</v>
      </c>
      <c r="AF23" s="32">
        <f t="shared" si="80"/>
        <v>-38</v>
      </c>
      <c r="AG23" s="32">
        <f t="shared" si="81"/>
        <v>-16</v>
      </c>
      <c r="AH23" s="32">
        <f t="shared" si="82"/>
        <v>-24</v>
      </c>
      <c r="AI23" s="32">
        <f t="shared" si="83"/>
        <v>-106</v>
      </c>
      <c r="AJ23" s="32">
        <f t="shared" si="84"/>
        <v>-89</v>
      </c>
      <c r="AK23" s="11"/>
      <c r="AL23" s="75">
        <f t="shared" si="85"/>
        <v>1.3421052631578947</v>
      </c>
    </row>
    <row r="24" spans="2:38" ht="12.75" customHeight="1">
      <c r="B24" s="9" t="s">
        <v>178</v>
      </c>
      <c r="C24" s="82">
        <v>-278</v>
      </c>
      <c r="D24" s="82">
        <v>-430</v>
      </c>
      <c r="E24" s="82">
        <v>-173</v>
      </c>
      <c r="F24" s="82">
        <v>111</v>
      </c>
      <c r="G24" s="82">
        <v>0</v>
      </c>
      <c r="H24" s="32"/>
      <c r="I24" s="82">
        <v>6</v>
      </c>
      <c r="J24" s="82">
        <v>-298</v>
      </c>
      <c r="K24" s="82">
        <v>0</v>
      </c>
      <c r="L24" s="32">
        <f t="shared" si="73"/>
        <v>-138</v>
      </c>
      <c r="M24" s="82">
        <v>0</v>
      </c>
      <c r="N24" s="82">
        <v>-42</v>
      </c>
      <c r="O24" s="82">
        <v>0</v>
      </c>
      <c r="P24" s="32">
        <f t="shared" si="74"/>
        <v>-131</v>
      </c>
      <c r="Q24" s="82">
        <v>-20</v>
      </c>
      <c r="R24" s="82">
        <v>0</v>
      </c>
      <c r="S24" s="82">
        <v>111</v>
      </c>
      <c r="T24" s="32">
        <f t="shared" si="75"/>
        <v>20</v>
      </c>
      <c r="U24" s="82">
        <v>0</v>
      </c>
      <c r="V24" s="82">
        <v>0</v>
      </c>
      <c r="W24" s="82">
        <v>0</v>
      </c>
      <c r="X24" s="32">
        <f t="shared" si="76"/>
        <v>0</v>
      </c>
      <c r="Y24" s="82">
        <v>0</v>
      </c>
      <c r="Z24" s="82">
        <v>0</v>
      </c>
      <c r="AA24" s="82">
        <v>0</v>
      </c>
      <c r="AC24" s="32">
        <f t="shared" si="77"/>
        <v>111</v>
      </c>
      <c r="AD24" s="32">
        <f t="shared" si="78"/>
        <v>131</v>
      </c>
      <c r="AE24" s="32">
        <f t="shared" si="79"/>
        <v>131</v>
      </c>
      <c r="AF24" s="32">
        <f t="shared" si="80"/>
        <v>20</v>
      </c>
      <c r="AG24" s="32">
        <f t="shared" si="81"/>
        <v>0</v>
      </c>
      <c r="AH24" s="32">
        <f t="shared" si="82"/>
        <v>0</v>
      </c>
      <c r="AI24" s="32">
        <f t="shared" si="83"/>
        <v>0</v>
      </c>
      <c r="AJ24" s="32">
        <f t="shared" si="84"/>
        <v>0</v>
      </c>
      <c r="AK24" s="11"/>
      <c r="AL24" s="75">
        <f t="shared" ref="AL24:AL25" si="87">SUM(AJ24/AF24)-1</f>
        <v>-1</v>
      </c>
    </row>
    <row r="25" spans="2:38" ht="12.75" customHeight="1">
      <c r="B25" s="9" t="s">
        <v>179</v>
      </c>
      <c r="C25" s="82">
        <v>-74</v>
      </c>
      <c r="D25" s="82">
        <v>78</v>
      </c>
      <c r="E25" s="82">
        <v>-22</v>
      </c>
      <c r="F25" s="82">
        <v>0</v>
      </c>
      <c r="G25" s="82">
        <v>0</v>
      </c>
      <c r="H25" s="32"/>
      <c r="I25" s="82">
        <v>0</v>
      </c>
      <c r="J25" s="82">
        <v>2</v>
      </c>
      <c r="K25" s="82">
        <v>40</v>
      </c>
      <c r="L25" s="32">
        <f t="shared" si="73"/>
        <v>36</v>
      </c>
      <c r="M25" s="82">
        <v>0</v>
      </c>
      <c r="N25" s="82">
        <v>0</v>
      </c>
      <c r="O25" s="82">
        <v>0</v>
      </c>
      <c r="P25" s="32">
        <f t="shared" si="74"/>
        <v>-22</v>
      </c>
      <c r="Q25" s="82">
        <v>0</v>
      </c>
      <c r="R25" s="82">
        <v>0</v>
      </c>
      <c r="S25" s="82">
        <v>0</v>
      </c>
      <c r="T25" s="32">
        <f t="shared" si="75"/>
        <v>0</v>
      </c>
      <c r="U25" s="82">
        <v>0</v>
      </c>
      <c r="V25" s="82">
        <v>0</v>
      </c>
      <c r="W25" s="82">
        <v>0</v>
      </c>
      <c r="X25" s="32">
        <f t="shared" si="76"/>
        <v>0</v>
      </c>
      <c r="Y25" s="82">
        <v>0</v>
      </c>
      <c r="Z25" s="82">
        <v>0</v>
      </c>
      <c r="AA25" s="82">
        <v>0</v>
      </c>
      <c r="AC25" s="32">
        <f t="shared" si="77"/>
        <v>0</v>
      </c>
      <c r="AD25" s="32">
        <f t="shared" si="78"/>
        <v>0</v>
      </c>
      <c r="AE25" s="32">
        <f t="shared" si="79"/>
        <v>0</v>
      </c>
      <c r="AF25" s="32">
        <f t="shared" si="80"/>
        <v>0</v>
      </c>
      <c r="AG25" s="32">
        <f t="shared" si="81"/>
        <v>0</v>
      </c>
      <c r="AH25" s="32">
        <f t="shared" si="82"/>
        <v>0</v>
      </c>
      <c r="AI25" s="32">
        <f t="shared" si="83"/>
        <v>0</v>
      </c>
      <c r="AJ25" s="32">
        <f t="shared" si="84"/>
        <v>0</v>
      </c>
      <c r="AK25" s="11"/>
      <c r="AL25" s="75" t="e">
        <f t="shared" si="87"/>
        <v>#DIV/0!</v>
      </c>
    </row>
    <row r="26" spans="2:38" ht="12.75" customHeight="1">
      <c r="B26" s="25" t="s">
        <v>77</v>
      </c>
      <c r="C26" s="26">
        <f t="shared" ref="C26" si="88">+SUM(C14+SUM(C17:C25))</f>
        <v>-80</v>
      </c>
      <c r="D26" s="26">
        <f t="shared" ref="D26" si="89">+SUM(D14+SUM(D17:D25))</f>
        <v>1198</v>
      </c>
      <c r="E26" s="26">
        <f t="shared" ref="E26:G26" si="90">+SUM(E14+SUM(E17:E25))</f>
        <v>1647</v>
      </c>
      <c r="F26" s="26">
        <f t="shared" si="90"/>
        <v>2343</v>
      </c>
      <c r="G26" s="26">
        <f t="shared" si="90"/>
        <v>2605</v>
      </c>
      <c r="H26" s="32"/>
      <c r="I26" s="26">
        <f t="shared" ref="I26" si="91">+SUM(I14+SUM(I17:I25))</f>
        <v>370</v>
      </c>
      <c r="J26" s="26">
        <f t="shared" ref="J26" si="92">+SUM(J14+SUM(J17:J25))</f>
        <v>262</v>
      </c>
      <c r="K26" s="26">
        <f t="shared" ref="K26" si="93">+SUM(K14+SUM(K17:K25))</f>
        <v>387</v>
      </c>
      <c r="L26" s="26">
        <f t="shared" ref="L26" si="94">+SUM(L14+SUM(L17:L25))</f>
        <v>179</v>
      </c>
      <c r="M26" s="26">
        <f t="shared" ref="M26" si="95">+SUM(M14+SUM(M17:M25))</f>
        <v>466</v>
      </c>
      <c r="N26" s="26">
        <f t="shared" ref="N26" si="96">+SUM(N14+SUM(N17:N25))</f>
        <v>423</v>
      </c>
      <c r="O26" s="26">
        <f t="shared" ref="O26" si="97">+SUM(O14+SUM(O17:O25))</f>
        <v>358</v>
      </c>
      <c r="P26" s="26">
        <f t="shared" ref="P26" si="98">+SUM(P14+SUM(P17:P25))</f>
        <v>400</v>
      </c>
      <c r="Q26" s="26">
        <f t="shared" ref="Q26" si="99">+SUM(Q14+SUM(Q17:Q25))</f>
        <v>552</v>
      </c>
      <c r="R26" s="26">
        <f t="shared" ref="R26" si="100">+SUM(R14+SUM(R17:R25))</f>
        <v>514</v>
      </c>
      <c r="S26" s="26">
        <f t="shared" ref="S26" si="101">+SUM(S14+SUM(S17:S25))</f>
        <v>693</v>
      </c>
      <c r="T26" s="26">
        <f t="shared" ref="T26" si="102">+SUM(T14+SUM(T17:T25))</f>
        <v>584</v>
      </c>
      <c r="U26" s="26">
        <f t="shared" ref="U26" si="103">+SUM(U14+SUM(U17:U25))</f>
        <v>675</v>
      </c>
      <c r="V26" s="26">
        <f t="shared" ref="V26" si="104">+SUM(V14+SUM(V17:V25))</f>
        <v>520</v>
      </c>
      <c r="W26" s="26">
        <f t="shared" ref="W26" si="105">+SUM(W14+SUM(W17:W25))</f>
        <v>733</v>
      </c>
      <c r="X26" s="26">
        <f t="shared" ref="X26" si="106">+SUM(X14+SUM(X17:X25))</f>
        <v>677</v>
      </c>
      <c r="Y26" s="26">
        <f t="shared" ref="Y26" si="107">+SUM(Y14+SUM(Y17:Y25))</f>
        <v>921</v>
      </c>
      <c r="Z26" s="26">
        <f t="shared" ref="Z26" si="108">+SUM(Z14+SUM(Z17:Z25))</f>
        <v>819</v>
      </c>
      <c r="AA26" s="26">
        <f t="shared" ref="AA26" si="109">+SUM(AA14+SUM(AA17:AA25))</f>
        <v>1048</v>
      </c>
      <c r="AC26" s="26">
        <f t="shared" ref="AC26" si="110">+SUM(AC14+SUM(AC17:AC25))</f>
        <v>2343</v>
      </c>
      <c r="AD26" s="26">
        <f t="shared" ref="AD26" si="111">+SUM(AD14+SUM(AD17:AD25))</f>
        <v>2466</v>
      </c>
      <c r="AE26" s="26">
        <f t="shared" ref="AE26" si="112">+SUM(AE14+SUM(AE17:AE25))</f>
        <v>2472</v>
      </c>
      <c r="AF26" s="26">
        <f t="shared" ref="AF26" si="113">+SUM(AF14+SUM(AF17:AF25))</f>
        <v>2512</v>
      </c>
      <c r="AG26" s="26">
        <f t="shared" ref="AG26" si="114">+SUM(AG14+SUM(AG17:AG25))</f>
        <v>2605</v>
      </c>
      <c r="AH26" s="26">
        <f t="shared" ref="AH26" si="115">+SUM(AH14+SUM(AH17:AH25))</f>
        <v>2851</v>
      </c>
      <c r="AI26" s="26">
        <f t="shared" ref="AI26" si="116">+SUM(AI14+SUM(AI17:AI25))</f>
        <v>3150</v>
      </c>
      <c r="AJ26" s="26">
        <f t="shared" ref="AJ26" si="117">+SUM(AJ14+SUM(AJ17:AJ25))</f>
        <v>3465</v>
      </c>
      <c r="AK26" s="11"/>
      <c r="AL26" s="76">
        <f>SUM(AJ26/AF26)-1</f>
        <v>0.37937898089171984</v>
      </c>
    </row>
    <row r="27" spans="2:38" ht="12.75" customHeight="1">
      <c r="B27" s="16" t="s">
        <v>31</v>
      </c>
      <c r="C27" s="17">
        <f t="shared" ref="C27:D27" si="118">C26/C11</f>
        <v>-8.0702108342580441E-3</v>
      </c>
      <c r="D27" s="17">
        <f t="shared" si="118"/>
        <v>0.10077388963660834</v>
      </c>
      <c r="E27" s="17">
        <f>E26/E11</f>
        <v>0.12986910581927141</v>
      </c>
      <c r="F27" s="17">
        <f>F26/F11</f>
        <v>0.16453651685393259</v>
      </c>
      <c r="G27" s="17">
        <f>G26/G11</f>
        <v>0.15555024780557711</v>
      </c>
      <c r="H27" s="32"/>
      <c r="I27" s="17">
        <f t="shared" ref="I27" si="119">I26/I11</f>
        <v>0.13444767441860464</v>
      </c>
      <c r="J27" s="17">
        <f t="shared" ref="J27" si="120">J26/J11</f>
        <v>8.5147871303217423E-2</v>
      </c>
      <c r="K27" s="17">
        <f t="shared" ref="K27" si="121">K26/K11</f>
        <v>0.13199181446111868</v>
      </c>
      <c r="L27" s="17">
        <f t="shared" ref="L27" si="122">L26/L11</f>
        <v>5.7243364246881999E-2</v>
      </c>
      <c r="M27" s="17">
        <f t="shared" ref="M27" si="123">M26/M11</f>
        <v>0.15399867812293458</v>
      </c>
      <c r="N27" s="17">
        <f t="shared" ref="N27" si="124">N26/N11</f>
        <v>0.13039457459926018</v>
      </c>
      <c r="O27" s="17">
        <f t="shared" ref="O27" si="125">O26/O11</f>
        <v>0.11293375394321767</v>
      </c>
      <c r="P27" s="17">
        <f t="shared" ref="P27" si="126">P26/P11</f>
        <v>0.12338062924120913</v>
      </c>
      <c r="Q27" s="17">
        <f t="shared" ref="Q27:AA27" si="127">Q26/Q11</f>
        <v>0.16287990557686632</v>
      </c>
      <c r="R27" s="17">
        <f t="shared" si="127"/>
        <v>0.14281744929146986</v>
      </c>
      <c r="S27" s="17">
        <f t="shared" si="127"/>
        <v>0.19648426424723561</v>
      </c>
      <c r="T27" s="17">
        <f t="shared" si="127"/>
        <v>0.15677852348993288</v>
      </c>
      <c r="U27" s="17">
        <f t="shared" si="127"/>
        <v>0.17500648172154523</v>
      </c>
      <c r="V27" s="17">
        <f t="shared" si="127"/>
        <v>0.12621359223300971</v>
      </c>
      <c r="W27" s="17">
        <f t="shared" si="127"/>
        <v>0.17415062960323116</v>
      </c>
      <c r="X27" s="17">
        <f t="shared" si="127"/>
        <v>0.14843236132427098</v>
      </c>
      <c r="Y27" s="17">
        <f t="shared" si="127"/>
        <v>0.19751233111730646</v>
      </c>
      <c r="Z27" s="17">
        <f t="shared" si="127"/>
        <v>0.16182572614107885</v>
      </c>
      <c r="AA27" s="17">
        <f t="shared" si="127"/>
        <v>0.2069101678183613</v>
      </c>
      <c r="AC27" s="17">
        <f t="shared" ref="AC27:AJ27" si="128">AC26/AC11</f>
        <v>0.16453651685393259</v>
      </c>
      <c r="AD27" s="17">
        <f t="shared" si="128"/>
        <v>0.16766385640467774</v>
      </c>
      <c r="AE27" s="17">
        <f t="shared" si="128"/>
        <v>0.16232188587563201</v>
      </c>
      <c r="AF27" s="17">
        <f t="shared" si="128"/>
        <v>0.15787819747344603</v>
      </c>
      <c r="AG27" s="17">
        <f t="shared" si="128"/>
        <v>0.15555024780557711</v>
      </c>
      <c r="AH27" s="17">
        <f t="shared" si="128"/>
        <v>0.16242237794109268</v>
      </c>
      <c r="AI27" s="17">
        <f t="shared" si="128"/>
        <v>0.17032551097653292</v>
      </c>
      <c r="AJ27" s="17">
        <f t="shared" si="128"/>
        <v>0.17906976744186046</v>
      </c>
      <c r="AK27" s="11"/>
      <c r="AL27" s="77">
        <f>SUM(AJ27-AF27)*1000</f>
        <v>21.191569968414427</v>
      </c>
    </row>
    <row r="28" spans="2:38" ht="5.0999999999999996" customHeight="1">
      <c r="B28" s="16"/>
      <c r="C28" s="17"/>
      <c r="D28" s="17"/>
      <c r="E28" s="17"/>
      <c r="F28" s="17"/>
      <c r="G28" s="17"/>
      <c r="H28" s="3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32"/>
      <c r="Z28" s="82"/>
      <c r="AA28" s="82"/>
      <c r="AC28" s="32"/>
      <c r="AD28" s="32"/>
      <c r="AE28" s="32"/>
      <c r="AF28" s="32"/>
      <c r="AG28" s="32"/>
      <c r="AH28" s="32"/>
      <c r="AI28" s="32"/>
      <c r="AJ28" s="32"/>
      <c r="AK28" s="11"/>
      <c r="AL28" s="75"/>
    </row>
    <row r="29" spans="2:38" ht="12.75" customHeight="1">
      <c r="B29" s="9" t="s">
        <v>180</v>
      </c>
      <c r="C29" s="82">
        <v>-361</v>
      </c>
      <c r="D29" s="82">
        <v>-341</v>
      </c>
      <c r="E29" s="82">
        <v>-470</v>
      </c>
      <c r="F29" s="82">
        <v>-265</v>
      </c>
      <c r="G29" s="82">
        <v>-305</v>
      </c>
      <c r="H29" s="32"/>
      <c r="I29" s="82">
        <v>-82</v>
      </c>
      <c r="J29" s="82">
        <v>-86</v>
      </c>
      <c r="K29" s="82">
        <v>-86</v>
      </c>
      <c r="L29" s="32">
        <f t="shared" ref="L29:L30" si="129">SUM(D29-SUM(I29:K29))</f>
        <v>-87</v>
      </c>
      <c r="M29" s="82">
        <v>-279</v>
      </c>
      <c r="N29" s="82">
        <v>-64</v>
      </c>
      <c r="O29" s="82">
        <v>-63</v>
      </c>
      <c r="P29" s="32">
        <f t="shared" ref="P29:P30" si="130">SUM(E29-SUM(M29:O29))</f>
        <v>-64</v>
      </c>
      <c r="Q29" s="82">
        <v>-65</v>
      </c>
      <c r="R29" s="82">
        <v>-70</v>
      </c>
      <c r="S29" s="82">
        <v>-66</v>
      </c>
      <c r="T29" s="32">
        <f t="shared" ref="T29:T30" si="131">SUM(F29-SUM(Q29:S29))</f>
        <v>-64</v>
      </c>
      <c r="U29" s="82">
        <v>-69</v>
      </c>
      <c r="V29" s="82">
        <v>-77</v>
      </c>
      <c r="W29" s="82">
        <v>-79</v>
      </c>
      <c r="X29" s="32">
        <f t="shared" ref="X29:X30" si="132">SUM(G29-SUM(U29:W29))</f>
        <v>-80</v>
      </c>
      <c r="Y29" s="82">
        <v>-82</v>
      </c>
      <c r="Z29" s="82">
        <v>-90</v>
      </c>
      <c r="AA29" s="82">
        <v>-87</v>
      </c>
      <c r="AC29" s="32">
        <f t="shared" ref="AC29:AJ29" si="133">SUM(Q29:T29)</f>
        <v>-265</v>
      </c>
      <c r="AD29" s="32">
        <f t="shared" si="133"/>
        <v>-269</v>
      </c>
      <c r="AE29" s="32">
        <f t="shared" si="133"/>
        <v>-276</v>
      </c>
      <c r="AF29" s="32">
        <f t="shared" si="133"/>
        <v>-289</v>
      </c>
      <c r="AG29" s="32">
        <f t="shared" si="133"/>
        <v>-305</v>
      </c>
      <c r="AH29" s="32">
        <f t="shared" si="133"/>
        <v>-318</v>
      </c>
      <c r="AI29" s="32">
        <f t="shared" si="133"/>
        <v>-331</v>
      </c>
      <c r="AJ29" s="32">
        <f t="shared" si="133"/>
        <v>-339</v>
      </c>
      <c r="AK29" s="11"/>
      <c r="AL29" s="75">
        <f t="shared" ref="AL29" si="134">SUM(AJ29/AF29)-1</f>
        <v>0.17301038062283736</v>
      </c>
    </row>
    <row r="30" spans="2:38" ht="12.75" customHeight="1">
      <c r="B30" s="9" t="s">
        <v>190</v>
      </c>
      <c r="C30" s="82">
        <v>362</v>
      </c>
      <c r="D30" s="82">
        <v>218</v>
      </c>
      <c r="E30" s="82">
        <v>-38</v>
      </c>
      <c r="F30" s="82">
        <v>-93</v>
      </c>
      <c r="G30" s="82">
        <v>-16</v>
      </c>
      <c r="H30" s="32"/>
      <c r="I30" s="82">
        <v>37</v>
      </c>
      <c r="J30" s="82">
        <v>-27</v>
      </c>
      <c r="K30" s="82">
        <v>181</v>
      </c>
      <c r="L30" s="32">
        <f t="shared" si="129"/>
        <v>27</v>
      </c>
      <c r="M30" s="82">
        <v>-31</v>
      </c>
      <c r="N30" s="82">
        <v>-14</v>
      </c>
      <c r="O30" s="82">
        <v>-50</v>
      </c>
      <c r="P30" s="32">
        <f t="shared" si="130"/>
        <v>57</v>
      </c>
      <c r="Q30" s="82">
        <v>-43</v>
      </c>
      <c r="R30" s="82">
        <v>-18</v>
      </c>
      <c r="S30" s="82">
        <v>-17</v>
      </c>
      <c r="T30" s="32">
        <f t="shared" si="131"/>
        <v>-15</v>
      </c>
      <c r="U30" s="82">
        <v>2</v>
      </c>
      <c r="V30" s="82">
        <v>-23</v>
      </c>
      <c r="W30" s="82">
        <v>14</v>
      </c>
      <c r="X30" s="32">
        <f t="shared" si="132"/>
        <v>-9</v>
      </c>
      <c r="Y30" s="82">
        <v>-34</v>
      </c>
      <c r="Z30" s="82">
        <v>213</v>
      </c>
      <c r="AA30" s="82">
        <v>-22</v>
      </c>
      <c r="AC30" s="32">
        <f t="shared" ref="AC30" si="135">SUM(Q30:T30)</f>
        <v>-93</v>
      </c>
      <c r="AD30" s="32">
        <f t="shared" ref="AD30" si="136">SUM(R30:U30)</f>
        <v>-48</v>
      </c>
      <c r="AE30" s="32">
        <f t="shared" ref="AE30" si="137">SUM(S30:V30)</f>
        <v>-53</v>
      </c>
      <c r="AF30" s="32">
        <f t="shared" ref="AF30" si="138">SUM(T30:W30)</f>
        <v>-22</v>
      </c>
      <c r="AG30" s="32">
        <f t="shared" ref="AG30" si="139">SUM(U30:X30)</f>
        <v>-16</v>
      </c>
      <c r="AH30" s="32">
        <f t="shared" ref="AH30" si="140">SUM(V30:Y30)</f>
        <v>-52</v>
      </c>
      <c r="AI30" s="32">
        <f t="shared" ref="AI30" si="141">SUM(W30:Z30)</f>
        <v>184</v>
      </c>
      <c r="AJ30" s="32">
        <f t="shared" ref="AJ30" si="142">SUM(X30:AA30)</f>
        <v>148</v>
      </c>
      <c r="AK30" s="11"/>
      <c r="AL30" s="75"/>
    </row>
    <row r="31" spans="2:38" ht="12.75" customHeight="1">
      <c r="B31" s="25" t="s">
        <v>138</v>
      </c>
      <c r="C31" s="26">
        <f>SUM(C26+SUM(C29:C30))</f>
        <v>-79</v>
      </c>
      <c r="D31" s="26">
        <f>SUM(D26+SUM(D29:D30))</f>
        <v>1075</v>
      </c>
      <c r="E31" s="26">
        <f>SUM(E26+SUM(E29:E30))</f>
        <v>1139</v>
      </c>
      <c r="F31" s="26">
        <f>SUM(F26+SUM(F29:F30))</f>
        <v>1985</v>
      </c>
      <c r="G31" s="26">
        <f>SUM(G26+SUM(G29:G30))</f>
        <v>2284</v>
      </c>
      <c r="I31" s="26">
        <f t="shared" ref="I31:AA31" si="143">SUM(I26+SUM(I29:I30))</f>
        <v>325</v>
      </c>
      <c r="J31" s="26">
        <f t="shared" si="143"/>
        <v>149</v>
      </c>
      <c r="K31" s="26">
        <f t="shared" si="143"/>
        <v>482</v>
      </c>
      <c r="L31" s="26">
        <f t="shared" si="143"/>
        <v>119</v>
      </c>
      <c r="M31" s="26">
        <f t="shared" si="143"/>
        <v>156</v>
      </c>
      <c r="N31" s="26">
        <f t="shared" si="143"/>
        <v>345</v>
      </c>
      <c r="O31" s="26">
        <f t="shared" si="143"/>
        <v>245</v>
      </c>
      <c r="P31" s="26">
        <f t="shared" si="143"/>
        <v>393</v>
      </c>
      <c r="Q31" s="26">
        <f t="shared" si="143"/>
        <v>444</v>
      </c>
      <c r="R31" s="26">
        <f t="shared" si="143"/>
        <v>426</v>
      </c>
      <c r="S31" s="26">
        <f t="shared" si="143"/>
        <v>610</v>
      </c>
      <c r="T31" s="26">
        <f t="shared" si="143"/>
        <v>505</v>
      </c>
      <c r="U31" s="26">
        <f t="shared" si="143"/>
        <v>608</v>
      </c>
      <c r="V31" s="26">
        <f t="shared" si="143"/>
        <v>420</v>
      </c>
      <c r="W31" s="26">
        <f t="shared" si="143"/>
        <v>668</v>
      </c>
      <c r="X31" s="26">
        <f t="shared" si="143"/>
        <v>588</v>
      </c>
      <c r="Y31" s="26">
        <f t="shared" si="143"/>
        <v>805</v>
      </c>
      <c r="Z31" s="26">
        <f t="shared" si="143"/>
        <v>942</v>
      </c>
      <c r="AA31" s="26">
        <f t="shared" si="143"/>
        <v>939</v>
      </c>
      <c r="AC31" s="26">
        <f t="shared" ref="AC31:AJ31" si="144">SUM(AC26+SUM(AC29:AC30))</f>
        <v>1985</v>
      </c>
      <c r="AD31" s="26">
        <f t="shared" si="144"/>
        <v>2149</v>
      </c>
      <c r="AE31" s="26">
        <f t="shared" si="144"/>
        <v>2143</v>
      </c>
      <c r="AF31" s="26">
        <f t="shared" si="144"/>
        <v>2201</v>
      </c>
      <c r="AG31" s="26">
        <f t="shared" si="144"/>
        <v>2284</v>
      </c>
      <c r="AH31" s="26">
        <f t="shared" si="144"/>
        <v>2481</v>
      </c>
      <c r="AI31" s="26">
        <f t="shared" si="144"/>
        <v>3003</v>
      </c>
      <c r="AJ31" s="26">
        <f t="shared" si="144"/>
        <v>3274</v>
      </c>
      <c r="AK31" s="42"/>
      <c r="AL31" s="76">
        <f>SUM(AJ31/AF31)-1</f>
        <v>0.48750567923671051</v>
      </c>
    </row>
    <row r="32" spans="2:38" ht="12.75" customHeight="1">
      <c r="B32" s="16" t="s">
        <v>139</v>
      </c>
      <c r="C32" s="17">
        <f>C31/C11</f>
        <v>-7.9693331988298192E-3</v>
      </c>
      <c r="D32" s="17">
        <f>D31/D11</f>
        <v>9.0427321668909821E-2</v>
      </c>
      <c r="E32" s="17">
        <f>E31/E11</f>
        <v>8.9812332439678288E-2</v>
      </c>
      <c r="F32" s="17">
        <f>F31/F11</f>
        <v>0.13939606741573032</v>
      </c>
      <c r="G32" s="17">
        <f>G31/G11</f>
        <v>0.13638263569594555</v>
      </c>
      <c r="H32" s="27"/>
      <c r="I32" s="17">
        <f t="shared" ref="I32:AA32" si="145">I31/I11</f>
        <v>0.11809593023255814</v>
      </c>
      <c r="J32" s="17">
        <f t="shared" si="145"/>
        <v>4.8423789405264865E-2</v>
      </c>
      <c r="K32" s="17">
        <f t="shared" si="145"/>
        <v>0.16439290586630287</v>
      </c>
      <c r="L32" s="17">
        <f t="shared" si="145"/>
        <v>3.8055644387591944E-2</v>
      </c>
      <c r="M32" s="17">
        <f t="shared" si="145"/>
        <v>5.1553205551883675E-2</v>
      </c>
      <c r="N32" s="17">
        <f t="shared" si="145"/>
        <v>0.1063501849568434</v>
      </c>
      <c r="O32" s="17">
        <f t="shared" si="145"/>
        <v>7.7287066246056788E-2</v>
      </c>
      <c r="P32" s="17">
        <f t="shared" si="145"/>
        <v>0.12122146822948797</v>
      </c>
      <c r="Q32" s="17">
        <f t="shared" si="145"/>
        <v>0.13101209796400118</v>
      </c>
      <c r="R32" s="17">
        <f t="shared" si="145"/>
        <v>0.11836621283689913</v>
      </c>
      <c r="S32" s="17">
        <f t="shared" si="145"/>
        <v>0.17295151686986107</v>
      </c>
      <c r="T32" s="17">
        <f t="shared" si="145"/>
        <v>0.13557046979865772</v>
      </c>
      <c r="U32" s="17">
        <f t="shared" si="145"/>
        <v>0.15763546798029557</v>
      </c>
      <c r="V32" s="17">
        <f t="shared" si="145"/>
        <v>0.10194174757281553</v>
      </c>
      <c r="W32" s="17">
        <f t="shared" si="145"/>
        <v>0.15870753148016156</v>
      </c>
      <c r="X32" s="17">
        <f t="shared" si="145"/>
        <v>0.12891909668932253</v>
      </c>
      <c r="Y32" s="17">
        <f t="shared" si="145"/>
        <v>0.17263564229037101</v>
      </c>
      <c r="Z32" s="17">
        <f t="shared" si="145"/>
        <v>0.18612922347362182</v>
      </c>
      <c r="AA32" s="17">
        <f t="shared" si="145"/>
        <v>0.18538993089832181</v>
      </c>
      <c r="AB32" s="28"/>
      <c r="AC32" s="17">
        <f t="shared" ref="AC32:AJ32" si="146">AC31/AC11</f>
        <v>0.13939606741573032</v>
      </c>
      <c r="AD32" s="17">
        <f t="shared" si="146"/>
        <v>0.14611096002175686</v>
      </c>
      <c r="AE32" s="17">
        <f t="shared" si="146"/>
        <v>0.1407183662748703</v>
      </c>
      <c r="AF32" s="17">
        <f t="shared" si="146"/>
        <v>0.13833197159198038</v>
      </c>
      <c r="AG32" s="17">
        <f t="shared" si="146"/>
        <v>0.13638263569594555</v>
      </c>
      <c r="AH32" s="17">
        <f t="shared" si="146"/>
        <v>0.141343360109383</v>
      </c>
      <c r="AI32" s="17">
        <f t="shared" si="146"/>
        <v>0.16237698713096138</v>
      </c>
      <c r="AJ32" s="17">
        <f t="shared" si="146"/>
        <v>0.16919896640826873</v>
      </c>
      <c r="AK32" s="43"/>
      <c r="AL32" s="77">
        <f>SUM(AJ32-AF32)*1000</f>
        <v>30.866994816288351</v>
      </c>
    </row>
    <row r="33" spans="1:38" ht="5.0999999999999996" customHeight="1">
      <c r="B33" s="16"/>
      <c r="C33" s="17"/>
      <c r="D33" s="17"/>
      <c r="E33" s="17"/>
      <c r="F33" s="17"/>
      <c r="G33" s="17"/>
      <c r="H33" s="2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8"/>
      <c r="AC33" s="17"/>
      <c r="AD33" s="17"/>
      <c r="AE33" s="17"/>
      <c r="AF33" s="17"/>
      <c r="AG33" s="17"/>
      <c r="AH33" s="17"/>
      <c r="AI33" s="17"/>
      <c r="AJ33" s="17"/>
      <c r="AK33" s="43"/>
      <c r="AL33" s="77"/>
    </row>
    <row r="34" spans="1:38" ht="12.75" customHeight="1">
      <c r="B34" s="9" t="s">
        <v>201</v>
      </c>
      <c r="C34" s="82">
        <v>-2</v>
      </c>
      <c r="D34" s="82">
        <v>-36</v>
      </c>
      <c r="E34" s="82">
        <v>-443</v>
      </c>
      <c r="F34" s="82">
        <v>-393</v>
      </c>
      <c r="G34" s="82">
        <v>-436</v>
      </c>
      <c r="H34" s="32"/>
      <c r="I34" s="82">
        <v>16</v>
      </c>
      <c r="J34" s="82">
        <v>37</v>
      </c>
      <c r="K34" s="82">
        <v>-63</v>
      </c>
      <c r="L34" s="32">
        <f t="shared" ref="L34" si="147">SUM(D34-SUM(I34:K34))</f>
        <v>-26</v>
      </c>
      <c r="M34" s="82">
        <v>-45</v>
      </c>
      <c r="N34" s="82">
        <v>-85</v>
      </c>
      <c r="O34" s="82">
        <v>-57</v>
      </c>
      <c r="P34" s="32">
        <f>SUM(E34-SUM(M34:O34))</f>
        <v>-256</v>
      </c>
      <c r="Q34" s="82">
        <v>-130</v>
      </c>
      <c r="R34" s="82">
        <v>-156</v>
      </c>
      <c r="S34" s="82">
        <v>-106</v>
      </c>
      <c r="T34" s="32">
        <f>SUM(F34-SUM(Q34:S34))</f>
        <v>-1</v>
      </c>
      <c r="U34" s="82">
        <v>-115</v>
      </c>
      <c r="V34" s="82">
        <v>-98</v>
      </c>
      <c r="W34" s="82">
        <v>-200</v>
      </c>
      <c r="X34" s="32">
        <f>SUM(G34-SUM(U34:W34))</f>
        <v>-23</v>
      </c>
      <c r="Y34" s="82">
        <v>-133</v>
      </c>
      <c r="Z34" s="82">
        <v>-146</v>
      </c>
      <c r="AA34" s="82">
        <v>-184</v>
      </c>
      <c r="AC34" s="32">
        <f t="shared" ref="AC34:AJ34" si="148">SUM(Q34:T34)</f>
        <v>-393</v>
      </c>
      <c r="AD34" s="32">
        <f t="shared" si="148"/>
        <v>-378</v>
      </c>
      <c r="AE34" s="32">
        <f t="shared" si="148"/>
        <v>-320</v>
      </c>
      <c r="AF34" s="32">
        <f t="shared" si="148"/>
        <v>-414</v>
      </c>
      <c r="AG34" s="32">
        <f t="shared" si="148"/>
        <v>-436</v>
      </c>
      <c r="AH34" s="32">
        <f t="shared" si="148"/>
        <v>-454</v>
      </c>
      <c r="AI34" s="32">
        <f t="shared" si="148"/>
        <v>-502</v>
      </c>
      <c r="AJ34" s="32">
        <f t="shared" si="148"/>
        <v>-486</v>
      </c>
      <c r="AK34" s="11"/>
      <c r="AL34" s="75">
        <f>SUM(AJ34/AF34)-1</f>
        <v>0.17391304347826098</v>
      </c>
    </row>
    <row r="35" spans="1:38" ht="12.75" customHeight="1">
      <c r="B35" s="13" t="s">
        <v>181</v>
      </c>
      <c r="C35" s="14">
        <f t="shared" ref="C35:D35" si="149">SUM(C31+SUM(C34:C34))</f>
        <v>-81</v>
      </c>
      <c r="D35" s="14">
        <f t="shared" si="149"/>
        <v>1039</v>
      </c>
      <c r="E35" s="14">
        <f t="shared" ref="E35:G35" si="150">SUM(E31+SUM(E34:E34))</f>
        <v>696</v>
      </c>
      <c r="F35" s="14">
        <f t="shared" si="150"/>
        <v>1592</v>
      </c>
      <c r="G35" s="14">
        <f t="shared" si="150"/>
        <v>1848</v>
      </c>
      <c r="H35" s="11"/>
      <c r="I35" s="14">
        <f t="shared" ref="I35:O35" si="151">SUM(I31+SUM(I34:I34))</f>
        <v>341</v>
      </c>
      <c r="J35" s="14">
        <f t="shared" ref="J35:L35" si="152">SUM(J31+SUM(J34:J34))</f>
        <v>186</v>
      </c>
      <c r="K35" s="14">
        <f t="shared" si="152"/>
        <v>419</v>
      </c>
      <c r="L35" s="14">
        <f t="shared" si="152"/>
        <v>93</v>
      </c>
      <c r="M35" s="14">
        <f t="shared" si="151"/>
        <v>111</v>
      </c>
      <c r="N35" s="14">
        <f t="shared" si="151"/>
        <v>260</v>
      </c>
      <c r="O35" s="14">
        <f t="shared" si="151"/>
        <v>188</v>
      </c>
      <c r="P35" s="14">
        <f t="shared" ref="P35" si="153">SUM(P31+SUM(P34:P34))</f>
        <v>137</v>
      </c>
      <c r="Q35" s="14">
        <f t="shared" ref="Q35:AA35" si="154">SUM(Q31+SUM(Q34:Q34))</f>
        <v>314</v>
      </c>
      <c r="R35" s="14">
        <f t="shared" si="154"/>
        <v>270</v>
      </c>
      <c r="S35" s="14">
        <f t="shared" si="154"/>
        <v>504</v>
      </c>
      <c r="T35" s="14">
        <f t="shared" si="154"/>
        <v>504</v>
      </c>
      <c r="U35" s="14">
        <f t="shared" si="154"/>
        <v>493</v>
      </c>
      <c r="V35" s="14">
        <f t="shared" si="154"/>
        <v>322</v>
      </c>
      <c r="W35" s="14">
        <f t="shared" si="154"/>
        <v>468</v>
      </c>
      <c r="X35" s="14">
        <f t="shared" si="154"/>
        <v>565</v>
      </c>
      <c r="Y35" s="14">
        <f t="shared" si="154"/>
        <v>672</v>
      </c>
      <c r="Z35" s="14">
        <f t="shared" si="154"/>
        <v>796</v>
      </c>
      <c r="AA35" s="14">
        <f t="shared" si="154"/>
        <v>755</v>
      </c>
      <c r="AB35" s="32"/>
      <c r="AC35" s="14">
        <f t="shared" ref="AC35:AJ35" si="155">SUM(AC31+SUM(AC34:AC34))</f>
        <v>1592</v>
      </c>
      <c r="AD35" s="14">
        <f t="shared" si="155"/>
        <v>1771</v>
      </c>
      <c r="AE35" s="14">
        <f t="shared" si="155"/>
        <v>1823</v>
      </c>
      <c r="AF35" s="14">
        <f t="shared" si="155"/>
        <v>1787</v>
      </c>
      <c r="AG35" s="14">
        <f t="shared" si="155"/>
        <v>1848</v>
      </c>
      <c r="AH35" s="14">
        <f t="shared" si="155"/>
        <v>2027</v>
      </c>
      <c r="AI35" s="14">
        <f t="shared" si="155"/>
        <v>2501</v>
      </c>
      <c r="AJ35" s="14">
        <f t="shared" si="155"/>
        <v>2788</v>
      </c>
      <c r="AK35" s="36"/>
      <c r="AL35" s="76">
        <f>SUM(AJ35/AF35)-1</f>
        <v>0.5601566871852266</v>
      </c>
    </row>
    <row r="36" spans="1:38" ht="5.0999999999999996" customHeight="1">
      <c r="B36" s="16"/>
      <c r="C36" s="17"/>
      <c r="D36" s="17"/>
      <c r="E36" s="17"/>
      <c r="F36" s="17"/>
      <c r="G36" s="17"/>
      <c r="H36" s="2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8"/>
      <c r="AC36" s="17"/>
      <c r="AD36" s="17"/>
      <c r="AE36" s="17"/>
      <c r="AF36" s="17"/>
      <c r="AG36" s="17"/>
      <c r="AH36" s="17"/>
      <c r="AI36" s="17"/>
      <c r="AJ36" s="17"/>
      <c r="AK36" s="43"/>
      <c r="AL36" s="77"/>
    </row>
    <row r="37" spans="1:38" ht="12.75" customHeight="1">
      <c r="B37" s="9" t="s">
        <v>183</v>
      </c>
      <c r="C37" s="82">
        <v>-33</v>
      </c>
      <c r="D37" s="82">
        <v>-55</v>
      </c>
      <c r="E37" s="82">
        <v>-55</v>
      </c>
      <c r="F37" s="82">
        <v>-23</v>
      </c>
      <c r="G37" s="82">
        <v>0</v>
      </c>
      <c r="H37" s="32"/>
      <c r="I37" s="82">
        <v>-14</v>
      </c>
      <c r="J37" s="82">
        <v>-14</v>
      </c>
      <c r="K37" s="82">
        <v>-14</v>
      </c>
      <c r="L37" s="32">
        <f t="shared" ref="L37:L38" si="156">SUM(D37-SUM(I37:K37))</f>
        <v>-13</v>
      </c>
      <c r="M37" s="82">
        <v>-14</v>
      </c>
      <c r="N37" s="82">
        <v>-14</v>
      </c>
      <c r="O37" s="82">
        <v>-14</v>
      </c>
      <c r="P37" s="32">
        <f t="shared" ref="P37:P38" si="157">SUM(E37-SUM(M37:O37))</f>
        <v>-13</v>
      </c>
      <c r="Q37" s="82">
        <v>-14</v>
      </c>
      <c r="R37" s="82">
        <v>-9</v>
      </c>
      <c r="S37" s="82">
        <v>0</v>
      </c>
      <c r="T37" s="32">
        <f t="shared" ref="T37:T38" si="158">SUM(F37-SUM(Q37:S37))</f>
        <v>0</v>
      </c>
      <c r="U37" s="82">
        <v>0</v>
      </c>
      <c r="V37" s="82">
        <v>0</v>
      </c>
      <c r="W37" s="82">
        <v>0</v>
      </c>
      <c r="X37" s="32">
        <f t="shared" ref="X37:X38" si="159">SUM(G37-SUM(U37:W37))</f>
        <v>0</v>
      </c>
      <c r="Y37" s="82">
        <v>0</v>
      </c>
      <c r="Z37" s="82">
        <v>0</v>
      </c>
      <c r="AA37" s="82">
        <v>0</v>
      </c>
      <c r="AC37" s="32">
        <f t="shared" ref="AC37:AJ38" si="160">SUM(Q37:T37)</f>
        <v>-23</v>
      </c>
      <c r="AD37" s="32">
        <f t="shared" si="160"/>
        <v>-9</v>
      </c>
      <c r="AE37" s="32">
        <f t="shared" si="160"/>
        <v>0</v>
      </c>
      <c r="AF37" s="32">
        <f t="shared" si="160"/>
        <v>0</v>
      </c>
      <c r="AG37" s="32">
        <f t="shared" si="160"/>
        <v>0</v>
      </c>
      <c r="AH37" s="32">
        <f t="shared" si="160"/>
        <v>0</v>
      </c>
      <c r="AI37" s="32">
        <f t="shared" si="160"/>
        <v>0</v>
      </c>
      <c r="AJ37" s="32">
        <f t="shared" si="160"/>
        <v>0</v>
      </c>
      <c r="AK37" s="11"/>
      <c r="AL37" s="75" t="e">
        <f>SUM(AJ37/AF37)-1</f>
        <v>#DIV/0!</v>
      </c>
    </row>
    <row r="38" spans="1:38" ht="12.75" customHeight="1">
      <c r="B38" s="9" t="s">
        <v>200</v>
      </c>
      <c r="C38" s="82">
        <v>0</v>
      </c>
      <c r="D38" s="82">
        <v>0</v>
      </c>
      <c r="E38" s="82">
        <v>0</v>
      </c>
      <c r="F38" s="82">
        <v>0</v>
      </c>
      <c r="G38" s="82">
        <v>8</v>
      </c>
      <c r="H38" s="32"/>
      <c r="I38" s="82">
        <v>0</v>
      </c>
      <c r="J38" s="82">
        <v>0</v>
      </c>
      <c r="K38" s="82">
        <v>0</v>
      </c>
      <c r="L38" s="32">
        <f t="shared" si="156"/>
        <v>0</v>
      </c>
      <c r="M38" s="82">
        <v>0</v>
      </c>
      <c r="N38" s="82">
        <v>0</v>
      </c>
      <c r="O38" s="82">
        <v>0</v>
      </c>
      <c r="P38" s="32">
        <f t="shared" si="157"/>
        <v>0</v>
      </c>
      <c r="Q38" s="82">
        <v>0</v>
      </c>
      <c r="R38" s="82">
        <v>0</v>
      </c>
      <c r="S38" s="82">
        <v>0</v>
      </c>
      <c r="T38" s="32">
        <f t="shared" si="158"/>
        <v>0</v>
      </c>
      <c r="U38" s="82">
        <v>2</v>
      </c>
      <c r="V38" s="82">
        <v>2</v>
      </c>
      <c r="W38" s="82">
        <v>1</v>
      </c>
      <c r="X38" s="32">
        <f t="shared" si="159"/>
        <v>3</v>
      </c>
      <c r="Y38" s="82">
        <v>2</v>
      </c>
      <c r="Z38" s="82">
        <v>1</v>
      </c>
      <c r="AA38" s="82">
        <v>0</v>
      </c>
      <c r="AC38" s="32">
        <f t="shared" si="160"/>
        <v>0</v>
      </c>
      <c r="AD38" s="32">
        <f t="shared" si="160"/>
        <v>2</v>
      </c>
      <c r="AE38" s="32">
        <f t="shared" si="160"/>
        <v>4</v>
      </c>
      <c r="AF38" s="32">
        <f t="shared" si="160"/>
        <v>5</v>
      </c>
      <c r="AG38" s="32">
        <f t="shared" si="160"/>
        <v>8</v>
      </c>
      <c r="AH38" s="32">
        <f t="shared" si="160"/>
        <v>8</v>
      </c>
      <c r="AI38" s="32">
        <f t="shared" si="160"/>
        <v>7</v>
      </c>
      <c r="AJ38" s="32">
        <f t="shared" si="160"/>
        <v>6</v>
      </c>
      <c r="AK38" s="11"/>
      <c r="AL38" s="75">
        <f>SUM(AJ38/AF38)-1</f>
        <v>0.19999999999999996</v>
      </c>
    </row>
    <row r="39" spans="1:38" ht="12.75" customHeight="1">
      <c r="B39" s="13" t="s">
        <v>182</v>
      </c>
      <c r="C39" s="14">
        <f>SUM(C35+SUM(C37:C38))</f>
        <v>-114</v>
      </c>
      <c r="D39" s="14">
        <f t="shared" ref="D39:G39" si="161">SUM(D35+SUM(D37:D38))</f>
        <v>984</v>
      </c>
      <c r="E39" s="14">
        <f t="shared" si="161"/>
        <v>641</v>
      </c>
      <c r="F39" s="14">
        <f t="shared" si="161"/>
        <v>1569</v>
      </c>
      <c r="G39" s="14">
        <f t="shared" si="161"/>
        <v>1856</v>
      </c>
      <c r="H39" s="11"/>
      <c r="I39" s="14">
        <f t="shared" ref="I39" si="162">SUM(I35+SUM(I37:I38))</f>
        <v>327</v>
      </c>
      <c r="J39" s="14">
        <f t="shared" ref="J39" si="163">SUM(J35+SUM(J37:J38))</f>
        <v>172</v>
      </c>
      <c r="K39" s="14">
        <f t="shared" ref="K39" si="164">SUM(K35+SUM(K37:K38))</f>
        <v>405</v>
      </c>
      <c r="L39" s="14">
        <f t="shared" ref="L39" si="165">SUM(L35+SUM(L37:L38))</f>
        <v>80</v>
      </c>
      <c r="M39" s="14">
        <f t="shared" ref="M39" si="166">SUM(M35+SUM(M37:M38))</f>
        <v>97</v>
      </c>
      <c r="N39" s="14">
        <f t="shared" ref="N39" si="167">SUM(N35+SUM(N37:N38))</f>
        <v>246</v>
      </c>
      <c r="O39" s="14">
        <f t="shared" ref="O39" si="168">SUM(O35+SUM(O37:O38))</f>
        <v>174</v>
      </c>
      <c r="P39" s="14">
        <f t="shared" ref="P39" si="169">SUM(P35+SUM(P37:P38))</f>
        <v>124</v>
      </c>
      <c r="Q39" s="14">
        <f t="shared" ref="Q39" si="170">SUM(Q35+SUM(Q37:Q38))</f>
        <v>300</v>
      </c>
      <c r="R39" s="14">
        <f t="shared" ref="R39" si="171">SUM(R35+SUM(R37:R38))</f>
        <v>261</v>
      </c>
      <c r="S39" s="14">
        <f t="shared" ref="S39" si="172">SUM(S35+SUM(S37:S38))</f>
        <v>504</v>
      </c>
      <c r="T39" s="14">
        <f t="shared" ref="T39" si="173">SUM(T35+SUM(T37:T38))</f>
        <v>504</v>
      </c>
      <c r="U39" s="14">
        <f t="shared" ref="U39" si="174">SUM(U35+SUM(U37:U38))</f>
        <v>495</v>
      </c>
      <c r="V39" s="14">
        <f t="shared" ref="V39" si="175">SUM(V35+SUM(V37:V38))</f>
        <v>324</v>
      </c>
      <c r="W39" s="14">
        <f t="shared" ref="W39" si="176">SUM(W35+SUM(W37:W38))</f>
        <v>469</v>
      </c>
      <c r="X39" s="14">
        <f t="shared" ref="X39" si="177">SUM(X35+SUM(X37:X38))</f>
        <v>568</v>
      </c>
      <c r="Y39" s="14">
        <f t="shared" ref="Y39" si="178">SUM(Y35+SUM(Y37:Y38))</f>
        <v>674</v>
      </c>
      <c r="Z39" s="14">
        <f t="shared" ref="Z39" si="179">SUM(Z35+SUM(Z37:Z38))</f>
        <v>797</v>
      </c>
      <c r="AA39" s="14">
        <f t="shared" ref="AA39" si="180">SUM(AA35+SUM(AA37:AA38))</f>
        <v>755</v>
      </c>
      <c r="AB39" s="32"/>
      <c r="AC39" s="14">
        <f t="shared" ref="AC39" si="181">SUM(AC35+SUM(AC37:AC38))</f>
        <v>1569</v>
      </c>
      <c r="AD39" s="14">
        <f t="shared" ref="AD39" si="182">SUM(AD35+SUM(AD37:AD38))</f>
        <v>1764</v>
      </c>
      <c r="AE39" s="14">
        <f t="shared" ref="AE39" si="183">SUM(AE35+SUM(AE37:AE38))</f>
        <v>1827</v>
      </c>
      <c r="AF39" s="14">
        <f t="shared" ref="AF39" si="184">SUM(AF35+SUM(AF37:AF38))</f>
        <v>1792</v>
      </c>
      <c r="AG39" s="14">
        <f t="shared" ref="AG39" si="185">SUM(AG35+SUM(AG37:AG38))</f>
        <v>1856</v>
      </c>
      <c r="AH39" s="14">
        <f t="shared" ref="AH39" si="186">SUM(AH35+SUM(AH37:AH38))</f>
        <v>2035</v>
      </c>
      <c r="AI39" s="14">
        <f t="shared" ref="AI39" si="187">SUM(AI35+SUM(AI37:AI38))</f>
        <v>2508</v>
      </c>
      <c r="AJ39" s="14">
        <f t="shared" ref="AJ39" si="188">SUM(AJ35+SUM(AJ37:AJ38))</f>
        <v>2794</v>
      </c>
      <c r="AK39" s="36"/>
      <c r="AL39" s="76">
        <f>SUM(AJ39/AF39)-1</f>
        <v>0.55915178571428581</v>
      </c>
    </row>
    <row r="40" spans="1:38" ht="12.75" customHeight="1">
      <c r="B40" s="16" t="s">
        <v>103</v>
      </c>
      <c r="C40" s="17">
        <f>C39/C11</f>
        <v>-1.1500050438817714E-2</v>
      </c>
      <c r="D40" s="17">
        <f t="shared" ref="D40:G40" si="189">D39/D11</f>
        <v>8.2772543741588156E-2</v>
      </c>
      <c r="E40" s="17">
        <f t="shared" si="189"/>
        <v>5.0544078221100776E-2</v>
      </c>
      <c r="F40" s="17">
        <f t="shared" si="189"/>
        <v>0.11018258426966292</v>
      </c>
      <c r="G40" s="17">
        <f t="shared" si="189"/>
        <v>0.11082581954977011</v>
      </c>
      <c r="H40" s="27"/>
      <c r="I40" s="17">
        <f t="shared" ref="I40" si="190">I39/I11</f>
        <v>0.11882267441860465</v>
      </c>
      <c r="J40" s="17">
        <f t="shared" ref="J40" si="191">J39/J11</f>
        <v>5.5898602534936628E-2</v>
      </c>
      <c r="K40" s="17">
        <f t="shared" ref="K40" si="192">K39/K11</f>
        <v>0.13813096862210095</v>
      </c>
      <c r="L40" s="17">
        <f t="shared" ref="L40" si="193">L39/L11</f>
        <v>2.5583626479053406E-2</v>
      </c>
      <c r="M40" s="17">
        <f t="shared" ref="M40" si="194">M39/M11</f>
        <v>3.2055518836748183E-2</v>
      </c>
      <c r="N40" s="17">
        <f t="shared" ref="N40" si="195">N39/N11</f>
        <v>7.5832305795314428E-2</v>
      </c>
      <c r="O40" s="17">
        <f t="shared" ref="O40" si="196">O39/O11</f>
        <v>5.4889589905362773E-2</v>
      </c>
      <c r="P40" s="17">
        <f t="shared" ref="P40" si="197">P39/P11</f>
        <v>3.8247995064774831E-2</v>
      </c>
      <c r="Q40" s="17">
        <f t="shared" ref="Q40" si="198">Q39/Q11</f>
        <v>8.8521687813514313E-2</v>
      </c>
      <c r="R40" s="17">
        <f t="shared" ref="R40" si="199">R39/R11</f>
        <v>7.2520144484579052E-2</v>
      </c>
      <c r="S40" s="17">
        <f t="shared" ref="S40" si="200">S39/S11</f>
        <v>0.14289764672526226</v>
      </c>
      <c r="T40" s="17">
        <f t="shared" ref="T40" si="201">T39/T11</f>
        <v>0.13530201342281878</v>
      </c>
      <c r="U40" s="17">
        <f t="shared" ref="U40" si="202">U39/U11</f>
        <v>0.12833808659579984</v>
      </c>
      <c r="V40" s="17">
        <f t="shared" ref="V40" si="203">V39/V11</f>
        <v>7.8640776699029122E-2</v>
      </c>
      <c r="W40" s="17">
        <f t="shared" ref="W40" si="204">W39/W11</f>
        <v>0.11142789261107151</v>
      </c>
      <c r="X40" s="17">
        <f t="shared" ref="X40" si="205">X39/X11</f>
        <v>0.12453409340057005</v>
      </c>
      <c r="Y40" s="17">
        <f t="shared" ref="Y40" si="206">Y39/Y11</f>
        <v>0.14454214025305598</v>
      </c>
      <c r="Z40" s="17">
        <f t="shared" ref="Z40" si="207">Z39/Z11</f>
        <v>0.15747875913851017</v>
      </c>
      <c r="AA40" s="17">
        <f t="shared" ref="AA40" si="208">AA39/AA11</f>
        <v>0.14906219151036526</v>
      </c>
      <c r="AB40" s="28"/>
      <c r="AC40" s="17">
        <f t="shared" ref="AC40" si="209">AC39/AC11</f>
        <v>0.11018258426966292</v>
      </c>
      <c r="AD40" s="17">
        <f t="shared" ref="AD40" si="210">AD39/AD11</f>
        <v>0.11993472939896654</v>
      </c>
      <c r="AE40" s="17">
        <f t="shared" ref="AE40" si="211">AE39/AE11</f>
        <v>0.11996848118720861</v>
      </c>
      <c r="AF40" s="17">
        <f t="shared" ref="AF40" si="212">AF39/AF11</f>
        <v>0.11262648482182139</v>
      </c>
      <c r="AG40" s="17">
        <f t="shared" ref="AG40" si="213">AG39/AG11</f>
        <v>0.11082581954977011</v>
      </c>
      <c r="AH40" s="17">
        <f t="shared" ref="AH40" si="214">AH39/AH11</f>
        <v>0.11593459807440323</v>
      </c>
      <c r="AI40" s="17">
        <f t="shared" ref="AI40" si="215">AI39/AI11</f>
        <v>0.13561154969179193</v>
      </c>
      <c r="AJ40" s="17">
        <f t="shared" ref="AJ40" si="216">AJ39/AJ11</f>
        <v>0.14439276485788113</v>
      </c>
      <c r="AK40" s="43"/>
      <c r="AL40" s="77">
        <f>SUM(AJ40-AF40)*1000</f>
        <v>31.766280036059747</v>
      </c>
    </row>
    <row r="41" spans="1:38" ht="5.0999999999999996" customHeight="1">
      <c r="B41" s="16"/>
      <c r="C41" s="17"/>
      <c r="D41" s="17"/>
      <c r="E41" s="17"/>
      <c r="F41" s="17"/>
      <c r="G41" s="17"/>
      <c r="H41" s="2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8"/>
      <c r="AC41" s="17"/>
      <c r="AD41" s="17"/>
      <c r="AE41" s="17"/>
      <c r="AF41" s="17"/>
      <c r="AG41" s="17"/>
      <c r="AH41" s="17"/>
      <c r="AI41" s="17"/>
      <c r="AJ41" s="17"/>
      <c r="AK41" s="43"/>
      <c r="AL41" s="77"/>
    </row>
    <row r="42" spans="1:38" ht="12.75" customHeight="1">
      <c r="B42" s="44" t="s">
        <v>84</v>
      </c>
      <c r="C42" s="82">
        <v>1416.7</v>
      </c>
      <c r="D42" s="82">
        <v>1422.3</v>
      </c>
      <c r="E42" s="82">
        <v>1430.5</v>
      </c>
      <c r="F42" s="82">
        <v>1453</v>
      </c>
      <c r="G42" s="82">
        <v>1471.5</v>
      </c>
      <c r="H42" s="27"/>
      <c r="I42" s="82">
        <v>1418.7</v>
      </c>
      <c r="J42" s="82">
        <v>1421.3</v>
      </c>
      <c r="K42" s="82">
        <v>1423.8</v>
      </c>
      <c r="L42" s="32">
        <f>D42</f>
        <v>1422.3</v>
      </c>
      <c r="M42" s="82">
        <v>1427.8</v>
      </c>
      <c r="N42" s="82">
        <v>1429.7</v>
      </c>
      <c r="O42" s="82">
        <v>1431.6</v>
      </c>
      <c r="P42" s="32">
        <f>E42</f>
        <v>1430.5</v>
      </c>
      <c r="Q42" s="82">
        <v>1435.8</v>
      </c>
      <c r="R42" s="82">
        <v>1446.2</v>
      </c>
      <c r="S42" s="82">
        <v>1464.5</v>
      </c>
      <c r="T42" s="32">
        <f>F42</f>
        <v>1453</v>
      </c>
      <c r="U42" s="82">
        <v>1468.4</v>
      </c>
      <c r="V42" s="82">
        <v>1470.6</v>
      </c>
      <c r="W42" s="82">
        <v>1472.7</v>
      </c>
      <c r="X42" s="32">
        <f>G42</f>
        <v>1471.5</v>
      </c>
      <c r="Y42" s="82"/>
      <c r="Z42" s="82"/>
      <c r="AA42" s="82"/>
      <c r="AB42" s="132"/>
      <c r="AC42" s="32">
        <f t="shared" ref="AC42:AJ42" si="217">T42</f>
        <v>1453</v>
      </c>
      <c r="AD42" s="32">
        <f t="shared" si="217"/>
        <v>1468.4</v>
      </c>
      <c r="AE42" s="32">
        <f t="shared" si="217"/>
        <v>1470.6</v>
      </c>
      <c r="AF42" s="32">
        <f t="shared" si="217"/>
        <v>1472.7</v>
      </c>
      <c r="AG42" s="32">
        <f t="shared" si="217"/>
        <v>1471.5</v>
      </c>
      <c r="AH42" s="32">
        <f t="shared" si="217"/>
        <v>0</v>
      </c>
      <c r="AI42" s="32">
        <f t="shared" si="217"/>
        <v>0</v>
      </c>
      <c r="AJ42" s="32">
        <f t="shared" si="217"/>
        <v>0</v>
      </c>
      <c r="AK42" s="43"/>
      <c r="AL42" s="75">
        <f>SUM(AJ42/AF42)-1</f>
        <v>-1</v>
      </c>
    </row>
    <row r="43" spans="1:38" ht="12.75" customHeight="1">
      <c r="B43" s="13" t="s">
        <v>62</v>
      </c>
      <c r="C43" s="144">
        <f>C39/C42</f>
        <v>-8.0468694854238715E-2</v>
      </c>
      <c r="D43" s="144">
        <f t="shared" ref="D43:G43" si="218">D39/D42</f>
        <v>0.69183716515503058</v>
      </c>
      <c r="E43" s="144">
        <f t="shared" si="218"/>
        <v>0.44809507165326806</v>
      </c>
      <c r="F43" s="144">
        <f t="shared" si="218"/>
        <v>1.0798348245010323</v>
      </c>
      <c r="G43" s="144">
        <f t="shared" si="218"/>
        <v>1.2612979952429493</v>
      </c>
      <c r="H43" s="27"/>
      <c r="I43" s="144">
        <f t="shared" ref="I43" si="219">I39/I42</f>
        <v>0.23049270458870796</v>
      </c>
      <c r="J43" s="144">
        <f t="shared" ref="J43" si="220">J39/J42</f>
        <v>0.12101597129388589</v>
      </c>
      <c r="K43" s="144">
        <f t="shared" ref="K43" si="221">K39/K42</f>
        <v>0.28445006321112515</v>
      </c>
      <c r="L43" s="144">
        <f t="shared" ref="L43" si="222">L39/L42</f>
        <v>5.6246923996343949E-2</v>
      </c>
      <c r="M43" s="144">
        <f t="shared" ref="M43" si="223">M39/M42</f>
        <v>6.7936685810337585E-2</v>
      </c>
      <c r="N43" s="144">
        <f t="shared" ref="N43" si="224">N39/N42</f>
        <v>0.1720640693851857</v>
      </c>
      <c r="O43" s="144">
        <f t="shared" ref="O43" si="225">O39/O42</f>
        <v>0.12154233025984913</v>
      </c>
      <c r="P43" s="144">
        <f t="shared" ref="P43" si="226">P39/P42</f>
        <v>8.6682977979727363E-2</v>
      </c>
      <c r="Q43" s="144">
        <f t="shared" ref="Q43" si="227">Q39/Q42</f>
        <v>0.20894274968658588</v>
      </c>
      <c r="R43" s="144">
        <f t="shared" ref="R43" si="228">R39/R42</f>
        <v>0.18047296362882034</v>
      </c>
      <c r="S43" s="144">
        <f t="shared" ref="S43" si="229">S39/S42</f>
        <v>0.34414475930351657</v>
      </c>
      <c r="T43" s="144">
        <f t="shared" ref="T43" si="230">T39/T42</f>
        <v>0.34686854783207155</v>
      </c>
      <c r="U43" s="144">
        <f t="shared" ref="U43" si="231">U39/U42</f>
        <v>0.33710160719150095</v>
      </c>
      <c r="V43" s="144">
        <f t="shared" ref="V43" si="232">V39/V42</f>
        <v>0.22031823745410037</v>
      </c>
      <c r="W43" s="144">
        <f t="shared" ref="W43" si="233">W39/W42</f>
        <v>0.31846268758063417</v>
      </c>
      <c r="X43" s="144">
        <f t="shared" ref="X43" si="234">X39/X42</f>
        <v>0.38600067957866124</v>
      </c>
      <c r="Y43" s="144" t="e">
        <f t="shared" ref="Y43" si="235">Y39/Y42</f>
        <v>#DIV/0!</v>
      </c>
      <c r="Z43" s="144" t="e">
        <f t="shared" ref="Z43" si="236">Z39/Z42</f>
        <v>#DIV/0!</v>
      </c>
      <c r="AA43" s="144" t="e">
        <f t="shared" ref="AA43" si="237">AA39/AA42</f>
        <v>#DIV/0!</v>
      </c>
      <c r="AB43" s="132"/>
      <c r="AC43" s="144">
        <f t="shared" ref="AC43" si="238">AC39/AC42</f>
        <v>1.0798348245010323</v>
      </c>
      <c r="AD43" s="144">
        <f t="shared" ref="AD43" si="239">AD39/AD42</f>
        <v>1.2013075456278943</v>
      </c>
      <c r="AE43" s="144">
        <f t="shared" ref="AE43" si="240">AE39/AE42</f>
        <v>1.2423500611995104</v>
      </c>
      <c r="AF43" s="144">
        <f t="shared" ref="AF43" si="241">AF39/AF42</f>
        <v>1.2168126570245128</v>
      </c>
      <c r="AG43" s="144">
        <f t="shared" ref="AG43" si="242">AG39/AG42</f>
        <v>1.2612979952429493</v>
      </c>
      <c r="AH43" s="144" t="e">
        <f t="shared" ref="AH43" si="243">AH39/AH42</f>
        <v>#DIV/0!</v>
      </c>
      <c r="AI43" s="144" t="e">
        <f t="shared" ref="AI43" si="244">AI39/AI42</f>
        <v>#DIV/0!</v>
      </c>
      <c r="AJ43" s="144" t="e">
        <f t="shared" ref="AJ43" si="245">AJ39/AJ42</f>
        <v>#DIV/0!</v>
      </c>
      <c r="AK43" s="43"/>
      <c r="AL43" s="76" t="e">
        <f>SUM(AJ43/AF43)-1</f>
        <v>#DIV/0!</v>
      </c>
    </row>
    <row r="44" spans="1:38" ht="5.0999999999999996" customHeight="1">
      <c r="B44" s="25"/>
      <c r="C44" s="48"/>
      <c r="D44" s="48"/>
      <c r="E44" s="48"/>
      <c r="F44" s="48"/>
      <c r="G44" s="48"/>
      <c r="H44" s="143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132"/>
      <c r="AC44" s="132"/>
      <c r="AD44" s="132"/>
      <c r="AE44" s="132"/>
      <c r="AF44" s="48"/>
      <c r="AG44" s="132"/>
      <c r="AH44" s="132"/>
      <c r="AI44" s="132"/>
      <c r="AJ44" s="132"/>
      <c r="AK44" s="43"/>
      <c r="AL44" s="75"/>
    </row>
    <row r="45" spans="1:38" ht="12.75" customHeight="1">
      <c r="B45" s="44" t="s">
        <v>63</v>
      </c>
      <c r="C45" s="82">
        <v>1416.7</v>
      </c>
      <c r="D45" s="82">
        <v>1433.8</v>
      </c>
      <c r="E45" s="82">
        <v>1439.7</v>
      </c>
      <c r="F45" s="82">
        <v>1463.5</v>
      </c>
      <c r="G45" s="82">
        <v>1485.9</v>
      </c>
      <c r="H45" s="143"/>
      <c r="I45" s="82">
        <v>1430.8</v>
      </c>
      <c r="J45" s="82">
        <v>1432.5</v>
      </c>
      <c r="K45" s="82">
        <v>1435.6</v>
      </c>
      <c r="L45" s="32">
        <f>D45</f>
        <v>1433.8</v>
      </c>
      <c r="M45" s="82">
        <v>1438.4</v>
      </c>
      <c r="N45" s="82">
        <v>1437.8</v>
      </c>
      <c r="O45" s="82">
        <v>1440</v>
      </c>
      <c r="P45" s="32">
        <f>E45</f>
        <v>1439.7</v>
      </c>
      <c r="Q45" s="82">
        <v>1446</v>
      </c>
      <c r="R45" s="82">
        <v>1456.2</v>
      </c>
      <c r="S45" s="82">
        <v>1475</v>
      </c>
      <c r="T45" s="32">
        <f>F45</f>
        <v>1463.5</v>
      </c>
      <c r="U45" s="82">
        <v>1481.7</v>
      </c>
      <c r="V45" s="82">
        <v>1484.2</v>
      </c>
      <c r="W45" s="82">
        <v>1487.4</v>
      </c>
      <c r="X45" s="32">
        <f>G45</f>
        <v>1485.9</v>
      </c>
      <c r="Y45" s="82"/>
      <c r="Z45" s="82"/>
      <c r="AA45" s="82"/>
      <c r="AB45" s="132"/>
      <c r="AC45" s="32">
        <f t="shared" ref="AC45:AJ45" si="246">T45</f>
        <v>1463.5</v>
      </c>
      <c r="AD45" s="32">
        <f t="shared" si="246"/>
        <v>1481.7</v>
      </c>
      <c r="AE45" s="32">
        <f t="shared" si="246"/>
        <v>1484.2</v>
      </c>
      <c r="AF45" s="32">
        <f t="shared" si="246"/>
        <v>1487.4</v>
      </c>
      <c r="AG45" s="32">
        <f t="shared" si="246"/>
        <v>1485.9</v>
      </c>
      <c r="AH45" s="32">
        <f t="shared" si="246"/>
        <v>0</v>
      </c>
      <c r="AI45" s="32">
        <f t="shared" si="246"/>
        <v>0</v>
      </c>
      <c r="AJ45" s="32">
        <f t="shared" si="246"/>
        <v>0</v>
      </c>
      <c r="AK45" s="43"/>
      <c r="AL45" s="75">
        <f>SUM(AJ45/AF45)-1</f>
        <v>-1</v>
      </c>
    </row>
    <row r="46" spans="1:38" ht="12.75" customHeight="1">
      <c r="B46" s="13" t="s">
        <v>83</v>
      </c>
      <c r="C46" s="144">
        <f>C39/C45</f>
        <v>-8.0468694854238715E-2</v>
      </c>
      <c r="D46" s="144">
        <f t="shared" ref="D46:G46" si="247">D39/D45</f>
        <v>0.68628818524201429</v>
      </c>
      <c r="E46" s="144">
        <f t="shared" si="247"/>
        <v>0.44523164548169758</v>
      </c>
      <c r="F46" s="144">
        <f t="shared" si="247"/>
        <v>1.072087461564742</v>
      </c>
      <c r="G46" s="144">
        <f t="shared" si="247"/>
        <v>1.2490746349014066</v>
      </c>
      <c r="H46" s="27"/>
      <c r="I46" s="144">
        <f t="shared" ref="I46" si="248">I39/I45</f>
        <v>0.22854347218339391</v>
      </c>
      <c r="J46" s="144">
        <f t="shared" ref="J46" si="249">J39/J45</f>
        <v>0.12006980802792321</v>
      </c>
      <c r="K46" s="144">
        <f t="shared" ref="K46" si="250">K39/K45</f>
        <v>0.28211200891613264</v>
      </c>
      <c r="L46" s="144">
        <f t="shared" ref="L46" si="251">L39/L45</f>
        <v>5.5795787418049941E-2</v>
      </c>
      <c r="M46" s="144">
        <f t="shared" ref="M46" si="252">M39/M45</f>
        <v>6.7436040044493883E-2</v>
      </c>
      <c r="N46" s="144">
        <f t="shared" ref="N46" si="253">N39/N45</f>
        <v>0.17109472805675338</v>
      </c>
      <c r="O46" s="144">
        <f t="shared" ref="O46" si="254">O39/O45</f>
        <v>0.12083333333333333</v>
      </c>
      <c r="P46" s="144">
        <f t="shared" ref="P46" si="255">P39/P45</f>
        <v>8.6129054664166149E-2</v>
      </c>
      <c r="Q46" s="144">
        <f t="shared" ref="Q46" si="256">Q39/Q45</f>
        <v>0.2074688796680498</v>
      </c>
      <c r="R46" s="144">
        <f t="shared" ref="R46" si="257">R39/R45</f>
        <v>0.1792336217552534</v>
      </c>
      <c r="S46" s="144">
        <f t="shared" ref="S46" si="258">S39/S45</f>
        <v>0.34169491525423729</v>
      </c>
      <c r="T46" s="144">
        <f t="shared" ref="T46" si="259">T39/T45</f>
        <v>0.3443799111718483</v>
      </c>
      <c r="U46" s="144">
        <f t="shared" ref="U46" si="260">U39/U45</f>
        <v>0.33407572383073497</v>
      </c>
      <c r="V46" s="144">
        <f t="shared" ref="V46" si="261">V39/V45</f>
        <v>0.2182994205632664</v>
      </c>
      <c r="W46" s="144">
        <f t="shared" ref="W46" si="262">W39/W45</f>
        <v>0.31531531531531531</v>
      </c>
      <c r="X46" s="144">
        <f t="shared" ref="X46" si="263">X39/X45</f>
        <v>0.3822599098189649</v>
      </c>
      <c r="Y46" s="144" t="e">
        <f t="shared" ref="Y46" si="264">Y39/Y45</f>
        <v>#DIV/0!</v>
      </c>
      <c r="Z46" s="144" t="e">
        <f t="shared" ref="Z46" si="265">Z39/Z45</f>
        <v>#DIV/0!</v>
      </c>
      <c r="AA46" s="144" t="e">
        <f t="shared" ref="AA46" si="266">AA39/AA45</f>
        <v>#DIV/0!</v>
      </c>
      <c r="AB46" s="132"/>
      <c r="AC46" s="144">
        <f t="shared" ref="AC46" si="267">AC39/AC45</f>
        <v>1.072087461564742</v>
      </c>
      <c r="AD46" s="144">
        <f t="shared" ref="AD46" si="268">AD39/AD45</f>
        <v>1.1905243976513464</v>
      </c>
      <c r="AE46" s="144">
        <f t="shared" ref="AE46" si="269">AE39/AE45</f>
        <v>1.2309661770650855</v>
      </c>
      <c r="AF46" s="144">
        <f t="shared" ref="AF46" si="270">AF39/AF45</f>
        <v>1.2047868764286673</v>
      </c>
      <c r="AG46" s="144">
        <f t="shared" ref="AG46" si="271">AG39/AG45</f>
        <v>1.2490746349014066</v>
      </c>
      <c r="AH46" s="144" t="e">
        <f t="shared" ref="AH46" si="272">AH39/AH45</f>
        <v>#DIV/0!</v>
      </c>
      <c r="AI46" s="144" t="e">
        <f t="shared" ref="AI46" si="273">AI39/AI45</f>
        <v>#DIV/0!</v>
      </c>
      <c r="AJ46" s="144" t="e">
        <f t="shared" ref="AJ46" si="274">AJ39/AJ45</f>
        <v>#DIV/0!</v>
      </c>
      <c r="AK46" s="43"/>
      <c r="AL46" s="76" t="e">
        <f>SUM(AJ46/AF46)-1</f>
        <v>#DIV/0!</v>
      </c>
    </row>
    <row r="47" spans="1:38">
      <c r="B47" s="16"/>
      <c r="C47" s="17"/>
      <c r="D47" s="17"/>
      <c r="E47" s="17"/>
      <c r="F47" s="17"/>
      <c r="G47" s="17"/>
      <c r="H47" s="2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28"/>
      <c r="AC47" s="17"/>
      <c r="AD47" s="17"/>
      <c r="AE47" s="17"/>
      <c r="AF47" s="17"/>
      <c r="AG47" s="17"/>
      <c r="AH47" s="17"/>
      <c r="AI47" s="17"/>
      <c r="AJ47" s="17"/>
      <c r="AK47" s="43"/>
    </row>
    <row r="48" spans="1:38" ht="12.75" customHeight="1">
      <c r="A48" s="5" t="s">
        <v>16</v>
      </c>
      <c r="B48" s="106" t="s">
        <v>73</v>
      </c>
      <c r="C48" s="107"/>
      <c r="D48" s="107"/>
      <c r="E48" s="107"/>
      <c r="F48" s="107"/>
      <c r="G48" s="107"/>
      <c r="H48" s="108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6"/>
      <c r="AC48" s="107"/>
      <c r="AD48" s="107"/>
      <c r="AE48" s="107" t="s">
        <v>10</v>
      </c>
      <c r="AF48" s="107"/>
      <c r="AG48" s="107"/>
      <c r="AH48" s="107"/>
      <c r="AI48" s="107"/>
      <c r="AJ48" s="107"/>
      <c r="AK48" s="108"/>
      <c r="AL48" s="169" t="s">
        <v>22</v>
      </c>
    </row>
    <row r="49" spans="2:38" ht="12.75" customHeight="1">
      <c r="B49" s="110" t="str">
        <f t="shared" ref="B49:G50" si="275">B7</f>
        <v>Fiscal Period</v>
      </c>
      <c r="C49" s="109">
        <f t="shared" si="275"/>
        <v>2020</v>
      </c>
      <c r="D49" s="109">
        <f t="shared" si="275"/>
        <v>2021</v>
      </c>
      <c r="E49" s="109">
        <f t="shared" si="275"/>
        <v>2022</v>
      </c>
      <c r="F49" s="109">
        <f t="shared" si="275"/>
        <v>2023</v>
      </c>
      <c r="G49" s="109">
        <f t="shared" si="275"/>
        <v>2024</v>
      </c>
      <c r="H49" s="108"/>
      <c r="I49" s="109" t="str">
        <f t="shared" ref="I49:AA49" si="276">I7</f>
        <v>1Q21</v>
      </c>
      <c r="J49" s="109" t="str">
        <f t="shared" si="276"/>
        <v>2Q21</v>
      </c>
      <c r="K49" s="109" t="str">
        <f t="shared" si="276"/>
        <v>3Q21</v>
      </c>
      <c r="L49" s="109" t="str">
        <f t="shared" si="276"/>
        <v>4Q21</v>
      </c>
      <c r="M49" s="109" t="str">
        <f t="shared" si="276"/>
        <v>1Q22</v>
      </c>
      <c r="N49" s="109" t="str">
        <f t="shared" si="276"/>
        <v>2Q22</v>
      </c>
      <c r="O49" s="109" t="str">
        <f t="shared" si="276"/>
        <v>3Q22</v>
      </c>
      <c r="P49" s="109" t="str">
        <f t="shared" si="276"/>
        <v>4Q22</v>
      </c>
      <c r="Q49" s="109" t="str">
        <f t="shared" si="276"/>
        <v>1Q23</v>
      </c>
      <c r="R49" s="109" t="str">
        <f t="shared" si="276"/>
        <v>2Q23</v>
      </c>
      <c r="S49" s="109" t="str">
        <f t="shared" si="276"/>
        <v>3Q23</v>
      </c>
      <c r="T49" s="109" t="str">
        <f t="shared" si="276"/>
        <v>4Q23</v>
      </c>
      <c r="U49" s="109" t="str">
        <f t="shared" si="276"/>
        <v>1Q24</v>
      </c>
      <c r="V49" s="109" t="str">
        <f t="shared" si="276"/>
        <v>2Q24</v>
      </c>
      <c r="W49" s="109" t="str">
        <f t="shared" si="276"/>
        <v>3Q24</v>
      </c>
      <c r="X49" s="109" t="str">
        <f t="shared" si="276"/>
        <v>4Q24</v>
      </c>
      <c r="Y49" s="109" t="str">
        <f t="shared" si="276"/>
        <v>1Q25</v>
      </c>
      <c r="Z49" s="109" t="str">
        <f t="shared" si="276"/>
        <v>2Q25</v>
      </c>
      <c r="AA49" s="109" t="str">
        <f t="shared" si="276"/>
        <v>3Q25</v>
      </c>
      <c r="AB49" s="111"/>
      <c r="AC49" s="109" t="str">
        <f t="shared" ref="AC49:AJ50" si="277">AC7</f>
        <v>4Q23</v>
      </c>
      <c r="AD49" s="109" t="str">
        <f t="shared" si="277"/>
        <v>1Q24</v>
      </c>
      <c r="AE49" s="109" t="str">
        <f t="shared" si="277"/>
        <v>2Q24</v>
      </c>
      <c r="AF49" s="109" t="str">
        <f t="shared" si="277"/>
        <v>3Q24</v>
      </c>
      <c r="AG49" s="109" t="str">
        <f t="shared" si="277"/>
        <v>4Q24</v>
      </c>
      <c r="AH49" s="109" t="str">
        <f t="shared" si="277"/>
        <v>1Q25</v>
      </c>
      <c r="AI49" s="109" t="str">
        <f t="shared" si="277"/>
        <v>2Q25</v>
      </c>
      <c r="AJ49" s="109" t="str">
        <f t="shared" si="277"/>
        <v>3Q25</v>
      </c>
      <c r="AK49" s="108"/>
      <c r="AL49" s="169"/>
    </row>
    <row r="50" spans="2:38" ht="12.75" customHeight="1">
      <c r="B50" s="110" t="str">
        <f t="shared" si="275"/>
        <v>Fiscal Period End Date</v>
      </c>
      <c r="C50" s="112">
        <f t="shared" si="275"/>
        <v>44196</v>
      </c>
      <c r="D50" s="112">
        <f t="shared" si="275"/>
        <v>44561</v>
      </c>
      <c r="E50" s="112">
        <f t="shared" si="275"/>
        <v>44926</v>
      </c>
      <c r="F50" s="112">
        <f t="shared" si="275"/>
        <v>45291</v>
      </c>
      <c r="G50" s="112">
        <f t="shared" si="275"/>
        <v>45657</v>
      </c>
      <c r="H50" s="108"/>
      <c r="I50" s="112">
        <f t="shared" ref="I50:AA50" si="278">I8</f>
        <v>44286</v>
      </c>
      <c r="J50" s="112">
        <f t="shared" si="278"/>
        <v>44377</v>
      </c>
      <c r="K50" s="112">
        <f t="shared" si="278"/>
        <v>44469</v>
      </c>
      <c r="L50" s="112">
        <f t="shared" si="278"/>
        <v>44561</v>
      </c>
      <c r="M50" s="112">
        <f t="shared" si="278"/>
        <v>44651</v>
      </c>
      <c r="N50" s="112">
        <f t="shared" si="278"/>
        <v>44742</v>
      </c>
      <c r="O50" s="112">
        <f t="shared" si="278"/>
        <v>44834</v>
      </c>
      <c r="P50" s="112">
        <f t="shared" si="278"/>
        <v>44926</v>
      </c>
      <c r="Q50" s="112">
        <f t="shared" si="278"/>
        <v>45016</v>
      </c>
      <c r="R50" s="112">
        <f t="shared" si="278"/>
        <v>45107</v>
      </c>
      <c r="S50" s="112">
        <f t="shared" si="278"/>
        <v>45199</v>
      </c>
      <c r="T50" s="112">
        <f t="shared" si="278"/>
        <v>45291</v>
      </c>
      <c r="U50" s="112">
        <f t="shared" si="278"/>
        <v>45382</v>
      </c>
      <c r="V50" s="112">
        <f t="shared" si="278"/>
        <v>45473</v>
      </c>
      <c r="W50" s="112">
        <f t="shared" si="278"/>
        <v>45565</v>
      </c>
      <c r="X50" s="112">
        <f t="shared" si="278"/>
        <v>45657</v>
      </c>
      <c r="Y50" s="112">
        <f t="shared" si="278"/>
        <v>45747</v>
      </c>
      <c r="Z50" s="112">
        <f t="shared" si="278"/>
        <v>45838</v>
      </c>
      <c r="AA50" s="112">
        <f t="shared" si="278"/>
        <v>45930</v>
      </c>
      <c r="AB50" s="113"/>
      <c r="AC50" s="112">
        <f t="shared" si="277"/>
        <v>45291</v>
      </c>
      <c r="AD50" s="112">
        <f t="shared" si="277"/>
        <v>45382</v>
      </c>
      <c r="AE50" s="112">
        <f t="shared" si="277"/>
        <v>45473</v>
      </c>
      <c r="AF50" s="112">
        <f t="shared" si="277"/>
        <v>45565</v>
      </c>
      <c r="AG50" s="112">
        <f t="shared" si="277"/>
        <v>45657</v>
      </c>
      <c r="AH50" s="112">
        <f t="shared" si="277"/>
        <v>45747</v>
      </c>
      <c r="AI50" s="112">
        <f t="shared" si="277"/>
        <v>45838</v>
      </c>
      <c r="AJ50" s="112">
        <f t="shared" si="277"/>
        <v>45930</v>
      </c>
      <c r="AK50" s="108"/>
      <c r="AL50" s="169"/>
    </row>
    <row r="51" spans="2:38" ht="5.0999999999999996" customHeight="1">
      <c r="B51" s="46"/>
      <c r="C51" s="47"/>
      <c r="D51" s="47"/>
      <c r="E51" s="47"/>
      <c r="F51" s="47"/>
      <c r="G51" s="47"/>
    </row>
    <row r="52" spans="2:38">
      <c r="B52" s="78" t="s">
        <v>78</v>
      </c>
      <c r="C52" s="47"/>
      <c r="D52" s="47"/>
      <c r="E52" s="47"/>
      <c r="F52" s="47"/>
      <c r="G52" s="47"/>
    </row>
    <row r="53" spans="2:38" s="122" customFormat="1" ht="12.75" customHeight="1">
      <c r="B53" s="114" t="s">
        <v>206</v>
      </c>
      <c r="C53" s="123">
        <v>1734</v>
      </c>
      <c r="D53" s="123">
        <v>1925</v>
      </c>
      <c r="E53" s="123">
        <v>928</v>
      </c>
      <c r="F53" s="123">
        <v>866</v>
      </c>
      <c r="G53" s="123">
        <v>414</v>
      </c>
      <c r="I53" s="82">
        <v>2016</v>
      </c>
      <c r="J53" s="82">
        <v>2675</v>
      </c>
      <c r="K53" s="82">
        <v>1947</v>
      </c>
      <c r="L53" s="32">
        <f>D53</f>
        <v>1925</v>
      </c>
      <c r="M53" s="82">
        <v>325</v>
      </c>
      <c r="N53" s="82">
        <v>276</v>
      </c>
      <c r="O53" s="82">
        <v>339</v>
      </c>
      <c r="P53" s="32">
        <f>E53</f>
        <v>928</v>
      </c>
      <c r="Q53" s="82">
        <v>570</v>
      </c>
      <c r="R53" s="82">
        <v>426</v>
      </c>
      <c r="S53" s="82">
        <v>952</v>
      </c>
      <c r="T53" s="32">
        <f>F53</f>
        <v>866</v>
      </c>
      <c r="U53" s="82">
        <v>2329</v>
      </c>
      <c r="V53" s="82">
        <v>2913</v>
      </c>
      <c r="W53" s="82">
        <v>2502</v>
      </c>
      <c r="X53" s="32">
        <f>G53</f>
        <v>414</v>
      </c>
      <c r="Y53" s="82">
        <v>725</v>
      </c>
      <c r="Z53" s="82">
        <v>534</v>
      </c>
      <c r="AA53" s="82">
        <v>1275</v>
      </c>
      <c r="AC53" s="96">
        <f t="shared" ref="AC53:AJ53" si="279">T53</f>
        <v>866</v>
      </c>
      <c r="AD53" s="96">
        <f t="shared" si="279"/>
        <v>2329</v>
      </c>
      <c r="AE53" s="96">
        <f t="shared" si="279"/>
        <v>2913</v>
      </c>
      <c r="AF53" s="96">
        <f t="shared" si="279"/>
        <v>2502</v>
      </c>
      <c r="AG53" s="96">
        <f t="shared" si="279"/>
        <v>414</v>
      </c>
      <c r="AH53" s="96">
        <f t="shared" si="279"/>
        <v>725</v>
      </c>
      <c r="AI53" s="96">
        <f t="shared" si="279"/>
        <v>534</v>
      </c>
      <c r="AJ53" s="96">
        <f t="shared" si="279"/>
        <v>1275</v>
      </c>
      <c r="AK53" s="124"/>
      <c r="AL53" s="75">
        <f>SUM(AJ53/AF53)-1</f>
        <v>-0.49040767386091122</v>
      </c>
    </row>
    <row r="54" spans="2:38" s="122" customFormat="1" ht="12.75" customHeight="1">
      <c r="B54" s="114" t="s">
        <v>207</v>
      </c>
      <c r="C54" s="123">
        <v>1531</v>
      </c>
      <c r="D54" s="123">
        <v>1778</v>
      </c>
      <c r="E54" s="123">
        <v>1970</v>
      </c>
      <c r="F54" s="123">
        <v>2229</v>
      </c>
      <c r="G54" s="123">
        <v>2558</v>
      </c>
      <c r="I54" s="82">
        <v>1631</v>
      </c>
      <c r="J54" s="82">
        <v>1675</v>
      </c>
      <c r="K54" s="82">
        <v>1669</v>
      </c>
      <c r="L54" s="32">
        <f t="shared" ref="L54:L58" si="280">D54</f>
        <v>1778</v>
      </c>
      <c r="M54" s="82">
        <v>1866</v>
      </c>
      <c r="N54" s="82">
        <v>1917</v>
      </c>
      <c r="O54" s="82">
        <v>1871</v>
      </c>
      <c r="P54" s="32">
        <f t="shared" ref="P54:P58" si="281">E54</f>
        <v>1970</v>
      </c>
      <c r="Q54" s="82">
        <v>2076</v>
      </c>
      <c r="R54" s="82">
        <v>2134</v>
      </c>
      <c r="S54" s="82">
        <v>2101</v>
      </c>
      <c r="T54" s="32">
        <f t="shared" ref="T54:T58" si="282">F54</f>
        <v>2229</v>
      </c>
      <c r="U54" s="82">
        <v>2304</v>
      </c>
      <c r="V54" s="82">
        <v>2400</v>
      </c>
      <c r="W54" s="82">
        <v>2501</v>
      </c>
      <c r="X54" s="32">
        <f t="shared" ref="X54:X58" si="283">G54</f>
        <v>2558</v>
      </c>
      <c r="Y54" s="82">
        <v>2693</v>
      </c>
      <c r="Z54" s="82">
        <v>2815</v>
      </c>
      <c r="AA54" s="82">
        <v>2828</v>
      </c>
      <c r="AC54" s="96">
        <f t="shared" ref="AC54" si="284">T54</f>
        <v>2229</v>
      </c>
      <c r="AD54" s="96">
        <f t="shared" ref="AD54" si="285">U54</f>
        <v>2304</v>
      </c>
      <c r="AE54" s="96">
        <f t="shared" ref="AE54" si="286">V54</f>
        <v>2400</v>
      </c>
      <c r="AF54" s="96">
        <f t="shared" ref="AF54" si="287">W54</f>
        <v>2501</v>
      </c>
      <c r="AG54" s="96">
        <f t="shared" ref="AG54" si="288">X54</f>
        <v>2558</v>
      </c>
      <c r="AH54" s="96">
        <f t="shared" ref="AH54" si="289">Y54</f>
        <v>2693</v>
      </c>
      <c r="AI54" s="96">
        <f t="shared" ref="AI54" si="290">Z54</f>
        <v>2815</v>
      </c>
      <c r="AJ54" s="96">
        <f t="shared" ref="AJ54" si="291">AA54</f>
        <v>2828</v>
      </c>
      <c r="AK54" s="124"/>
      <c r="AL54" s="75">
        <f t="shared" ref="AL54" si="292">SUM(AJ54/AF54)-1</f>
        <v>0.13074770091963206</v>
      </c>
    </row>
    <row r="55" spans="2:38" s="122" customFormat="1" ht="12.75" customHeight="1">
      <c r="B55" s="114" t="s">
        <v>105</v>
      </c>
      <c r="C55" s="123">
        <v>1351</v>
      </c>
      <c r="D55" s="123">
        <v>1610</v>
      </c>
      <c r="E55" s="123">
        <v>1867</v>
      </c>
      <c r="F55" s="123">
        <v>2484</v>
      </c>
      <c r="G55" s="123">
        <v>2810</v>
      </c>
      <c r="I55" s="82">
        <v>1407</v>
      </c>
      <c r="J55" s="82">
        <v>1430</v>
      </c>
      <c r="K55" s="82">
        <v>1603</v>
      </c>
      <c r="L55" s="32">
        <f t="shared" si="280"/>
        <v>1610</v>
      </c>
      <c r="M55" s="82">
        <v>1736</v>
      </c>
      <c r="N55" s="82">
        <v>1752</v>
      </c>
      <c r="O55" s="82">
        <v>1788</v>
      </c>
      <c r="P55" s="32">
        <f t="shared" si="281"/>
        <v>1867</v>
      </c>
      <c r="Q55" s="82">
        <v>2050</v>
      </c>
      <c r="R55" s="82">
        <v>2250</v>
      </c>
      <c r="S55" s="82">
        <v>2404</v>
      </c>
      <c r="T55" s="32">
        <f t="shared" si="282"/>
        <v>2484</v>
      </c>
      <c r="U55" s="82">
        <v>2561</v>
      </c>
      <c r="V55" s="82">
        <v>2608</v>
      </c>
      <c r="W55" s="82">
        <v>2753</v>
      </c>
      <c r="X55" s="32">
        <f t="shared" si="283"/>
        <v>2810</v>
      </c>
      <c r="Y55" s="82">
        <v>2867</v>
      </c>
      <c r="Z55" s="82">
        <v>2861</v>
      </c>
      <c r="AA55" s="82">
        <v>2921</v>
      </c>
      <c r="AC55" s="96">
        <f t="shared" ref="AC55:AJ56" si="293">T55</f>
        <v>2484</v>
      </c>
      <c r="AD55" s="96">
        <f t="shared" si="293"/>
        <v>2561</v>
      </c>
      <c r="AE55" s="96">
        <f t="shared" si="293"/>
        <v>2608</v>
      </c>
      <c r="AF55" s="96">
        <f t="shared" si="293"/>
        <v>2753</v>
      </c>
      <c r="AG55" s="96">
        <f t="shared" si="293"/>
        <v>2810</v>
      </c>
      <c r="AH55" s="96">
        <f t="shared" si="293"/>
        <v>2867</v>
      </c>
      <c r="AI55" s="96">
        <f t="shared" si="293"/>
        <v>2861</v>
      </c>
      <c r="AJ55" s="96">
        <f t="shared" si="293"/>
        <v>2921</v>
      </c>
      <c r="AK55" s="124"/>
      <c r="AL55" s="75">
        <f t="shared" ref="AL55" si="294">SUM(AJ55/AF55)-1</f>
        <v>6.1024337086814429E-2</v>
      </c>
    </row>
    <row r="56" spans="2:38" s="122" customFormat="1" ht="12.75" customHeight="1">
      <c r="B56" s="114" t="s">
        <v>184</v>
      </c>
      <c r="C56" s="123">
        <v>194</v>
      </c>
      <c r="D56" s="123">
        <v>205</v>
      </c>
      <c r="E56" s="123">
        <v>264</v>
      </c>
      <c r="F56" s="123">
        <v>315</v>
      </c>
      <c r="G56" s="123">
        <v>307</v>
      </c>
      <c r="I56" s="82">
        <v>192</v>
      </c>
      <c r="J56" s="82">
        <v>202</v>
      </c>
      <c r="K56" s="82">
        <v>217</v>
      </c>
      <c r="L56" s="32">
        <f t="shared" si="280"/>
        <v>205</v>
      </c>
      <c r="M56" s="82">
        <v>249</v>
      </c>
      <c r="N56" s="82">
        <v>264</v>
      </c>
      <c r="O56" s="82">
        <v>262</v>
      </c>
      <c r="P56" s="32">
        <f t="shared" si="281"/>
        <v>264</v>
      </c>
      <c r="Q56" s="82">
        <v>296</v>
      </c>
      <c r="R56" s="82">
        <v>303</v>
      </c>
      <c r="S56" s="82">
        <v>307</v>
      </c>
      <c r="T56" s="32">
        <f t="shared" si="282"/>
        <v>315</v>
      </c>
      <c r="U56" s="82">
        <v>319</v>
      </c>
      <c r="V56" s="82">
        <v>315</v>
      </c>
      <c r="W56" s="82">
        <v>332</v>
      </c>
      <c r="X56" s="32">
        <f t="shared" si="283"/>
        <v>307</v>
      </c>
      <c r="Y56" s="82">
        <v>294</v>
      </c>
      <c r="Z56" s="82">
        <v>298</v>
      </c>
      <c r="AA56" s="82">
        <v>310</v>
      </c>
      <c r="AC56" s="96">
        <f t="shared" si="293"/>
        <v>315</v>
      </c>
      <c r="AD56" s="96">
        <f t="shared" si="293"/>
        <v>319</v>
      </c>
      <c r="AE56" s="96">
        <f t="shared" si="293"/>
        <v>315</v>
      </c>
      <c r="AF56" s="96">
        <f t="shared" si="293"/>
        <v>332</v>
      </c>
      <c r="AG56" s="96">
        <f t="shared" si="293"/>
        <v>307</v>
      </c>
      <c r="AH56" s="96">
        <f t="shared" si="293"/>
        <v>294</v>
      </c>
      <c r="AI56" s="96">
        <f t="shared" si="293"/>
        <v>298</v>
      </c>
      <c r="AJ56" s="96">
        <f t="shared" si="293"/>
        <v>310</v>
      </c>
      <c r="AK56" s="124"/>
      <c r="AL56" s="75">
        <f t="shared" ref="AL56" si="295">SUM(AJ56/AF56)-1</f>
        <v>-6.6265060240963902E-2</v>
      </c>
    </row>
    <row r="57" spans="2:38" s="122" customFormat="1" ht="12.75" customHeight="1">
      <c r="B57" s="114" t="s">
        <v>185</v>
      </c>
      <c r="C57" s="123">
        <v>1133</v>
      </c>
      <c r="D57" s="123">
        <v>0</v>
      </c>
      <c r="E57" s="123">
        <v>0</v>
      </c>
      <c r="F57" s="123">
        <v>0</v>
      </c>
      <c r="G57" s="123">
        <v>0</v>
      </c>
      <c r="I57" s="82">
        <v>0</v>
      </c>
      <c r="J57" s="82">
        <v>0</v>
      </c>
      <c r="K57" s="82">
        <v>0</v>
      </c>
      <c r="L57" s="32">
        <f t="shared" si="280"/>
        <v>0</v>
      </c>
      <c r="M57" s="82">
        <v>0</v>
      </c>
      <c r="N57" s="82">
        <v>0</v>
      </c>
      <c r="O57" s="82">
        <v>0</v>
      </c>
      <c r="P57" s="32">
        <f t="shared" si="281"/>
        <v>0</v>
      </c>
      <c r="Q57" s="82">
        <v>0</v>
      </c>
      <c r="R57" s="82">
        <v>0</v>
      </c>
      <c r="S57" s="82">
        <v>0</v>
      </c>
      <c r="T57" s="32">
        <f t="shared" si="282"/>
        <v>0</v>
      </c>
      <c r="U57" s="82">
        <v>0</v>
      </c>
      <c r="V57" s="82">
        <v>0</v>
      </c>
      <c r="W57" s="82">
        <v>0</v>
      </c>
      <c r="X57" s="32">
        <f t="shared" si="283"/>
        <v>0</v>
      </c>
      <c r="Y57" s="82">
        <v>0</v>
      </c>
      <c r="Z57" s="82">
        <v>0</v>
      </c>
      <c r="AA57" s="82">
        <v>0</v>
      </c>
      <c r="AC57" s="96">
        <f t="shared" ref="AC57:AJ57" si="296">T57</f>
        <v>0</v>
      </c>
      <c r="AD57" s="96">
        <f t="shared" si="296"/>
        <v>0</v>
      </c>
      <c r="AE57" s="96">
        <f t="shared" si="296"/>
        <v>0</v>
      </c>
      <c r="AF57" s="96">
        <f t="shared" si="296"/>
        <v>0</v>
      </c>
      <c r="AG57" s="96">
        <f t="shared" si="296"/>
        <v>0</v>
      </c>
      <c r="AH57" s="96">
        <f t="shared" si="296"/>
        <v>0</v>
      </c>
      <c r="AI57" s="96">
        <f t="shared" si="296"/>
        <v>0</v>
      </c>
      <c r="AJ57" s="96">
        <f t="shared" si="296"/>
        <v>0</v>
      </c>
      <c r="AK57" s="124"/>
      <c r="AL57" s="75" t="e">
        <f t="shared" ref="AL57" si="297">SUM(AJ57/AF57)-1</f>
        <v>#DIV/0!</v>
      </c>
    </row>
    <row r="58" spans="2:38" s="122" customFormat="1" ht="12.75" customHeight="1">
      <c r="B58" s="114" t="s">
        <v>186</v>
      </c>
      <c r="C58" s="123">
        <v>751</v>
      </c>
      <c r="D58" s="123">
        <v>799</v>
      </c>
      <c r="E58" s="123">
        <v>731</v>
      </c>
      <c r="F58" s="123">
        <v>621</v>
      </c>
      <c r="G58" s="123">
        <v>831</v>
      </c>
      <c r="I58" s="82">
        <v>855</v>
      </c>
      <c r="J58" s="82">
        <v>777</v>
      </c>
      <c r="K58" s="82">
        <v>792</v>
      </c>
      <c r="L58" s="32">
        <f t="shared" si="280"/>
        <v>799</v>
      </c>
      <c r="M58" s="82">
        <v>889</v>
      </c>
      <c r="N58" s="82">
        <v>874</v>
      </c>
      <c r="O58" s="82">
        <v>884</v>
      </c>
      <c r="P58" s="32">
        <f t="shared" si="281"/>
        <v>731</v>
      </c>
      <c r="Q58" s="82">
        <v>711</v>
      </c>
      <c r="R58" s="82">
        <v>773</v>
      </c>
      <c r="S58" s="82">
        <v>741</v>
      </c>
      <c r="T58" s="32">
        <f t="shared" si="282"/>
        <v>621</v>
      </c>
      <c r="U58" s="82">
        <v>671</v>
      </c>
      <c r="V58" s="82">
        <v>756</v>
      </c>
      <c r="W58" s="82">
        <v>674</v>
      </c>
      <c r="X58" s="32">
        <f t="shared" si="283"/>
        <v>831</v>
      </c>
      <c r="Y58" s="82">
        <v>756</v>
      </c>
      <c r="Z58" s="82">
        <v>613</v>
      </c>
      <c r="AA58" s="82">
        <v>701</v>
      </c>
      <c r="AC58" s="96">
        <f t="shared" ref="AC58:AJ58" si="298">T58</f>
        <v>621</v>
      </c>
      <c r="AD58" s="96">
        <f t="shared" si="298"/>
        <v>671</v>
      </c>
      <c r="AE58" s="96">
        <f t="shared" si="298"/>
        <v>756</v>
      </c>
      <c r="AF58" s="96">
        <f t="shared" si="298"/>
        <v>674</v>
      </c>
      <c r="AG58" s="96">
        <f t="shared" si="298"/>
        <v>831</v>
      </c>
      <c r="AH58" s="96">
        <f t="shared" si="298"/>
        <v>756</v>
      </c>
      <c r="AI58" s="96">
        <f t="shared" si="298"/>
        <v>613</v>
      </c>
      <c r="AJ58" s="96">
        <f t="shared" si="298"/>
        <v>701</v>
      </c>
      <c r="AK58" s="124"/>
      <c r="AL58" s="75">
        <f t="shared" ref="AL58" si="299">SUM(AJ58/AF58)-1</f>
        <v>4.0059347181008897E-2</v>
      </c>
    </row>
    <row r="59" spans="2:38" ht="12.75" customHeight="1">
      <c r="B59" s="25" t="s">
        <v>18</v>
      </c>
      <c r="C59" s="26">
        <f t="shared" ref="C59:D59" si="300">SUM(C53:C58)</f>
        <v>6694</v>
      </c>
      <c r="D59" s="26">
        <f t="shared" si="300"/>
        <v>6317</v>
      </c>
      <c r="E59" s="26">
        <f>SUM(E53:E58)</f>
        <v>5760</v>
      </c>
      <c r="F59" s="26">
        <f>SUM(F53:F58)</f>
        <v>6515</v>
      </c>
      <c r="G59" s="26">
        <f>SUM(G53:G58)</f>
        <v>6920</v>
      </c>
      <c r="H59" s="48"/>
      <c r="I59" s="26">
        <f t="shared" ref="I59" si="301">SUM(I53:I58)</f>
        <v>6101</v>
      </c>
      <c r="J59" s="26">
        <f t="shared" ref="J59" si="302">SUM(J53:J58)</f>
        <v>6759</v>
      </c>
      <c r="K59" s="26">
        <f t="shared" ref="K59" si="303">SUM(K53:K58)</f>
        <v>6228</v>
      </c>
      <c r="L59" s="26">
        <f t="shared" ref="L59" si="304">SUM(L53:L58)</f>
        <v>6317</v>
      </c>
      <c r="M59" s="26">
        <f t="shared" ref="M59" si="305">SUM(M53:M58)</f>
        <v>5065</v>
      </c>
      <c r="N59" s="26">
        <f t="shared" ref="N59" si="306">SUM(N53:N58)</f>
        <v>5083</v>
      </c>
      <c r="O59" s="26">
        <f t="shared" ref="O59" si="307">SUM(O53:O58)</f>
        <v>5144</v>
      </c>
      <c r="P59" s="26">
        <f t="shared" ref="P59" si="308">SUM(P53:P58)</f>
        <v>5760</v>
      </c>
      <c r="Q59" s="26">
        <f t="shared" ref="Q59:AA59" si="309">SUM(Q53:Q58)</f>
        <v>5703</v>
      </c>
      <c r="R59" s="26">
        <f t="shared" si="309"/>
        <v>5886</v>
      </c>
      <c r="S59" s="26">
        <f t="shared" si="309"/>
        <v>6505</v>
      </c>
      <c r="T59" s="26">
        <f t="shared" si="309"/>
        <v>6515</v>
      </c>
      <c r="U59" s="26">
        <f t="shared" si="309"/>
        <v>8184</v>
      </c>
      <c r="V59" s="26">
        <f t="shared" si="309"/>
        <v>8992</v>
      </c>
      <c r="W59" s="26">
        <f t="shared" si="309"/>
        <v>8762</v>
      </c>
      <c r="X59" s="26">
        <f t="shared" si="309"/>
        <v>6920</v>
      </c>
      <c r="Y59" s="26">
        <f t="shared" si="309"/>
        <v>7335</v>
      </c>
      <c r="Z59" s="26">
        <f t="shared" si="309"/>
        <v>7121</v>
      </c>
      <c r="AA59" s="26">
        <f t="shared" si="309"/>
        <v>8035</v>
      </c>
      <c r="AB59" s="48"/>
      <c r="AC59" s="26">
        <f t="shared" ref="AC59:AJ59" si="310">SUM(AC53:AC58)</f>
        <v>6515</v>
      </c>
      <c r="AD59" s="26">
        <f t="shared" si="310"/>
        <v>8184</v>
      </c>
      <c r="AE59" s="26">
        <f t="shared" si="310"/>
        <v>8992</v>
      </c>
      <c r="AF59" s="26">
        <f t="shared" si="310"/>
        <v>8762</v>
      </c>
      <c r="AG59" s="26">
        <f t="shared" si="310"/>
        <v>6920</v>
      </c>
      <c r="AH59" s="26">
        <f t="shared" si="310"/>
        <v>7335</v>
      </c>
      <c r="AI59" s="26">
        <f t="shared" si="310"/>
        <v>7121</v>
      </c>
      <c r="AJ59" s="26">
        <f t="shared" si="310"/>
        <v>8035</v>
      </c>
      <c r="AK59" s="42"/>
      <c r="AL59" s="76">
        <f>SUM(AJ59/AF59)-1</f>
        <v>-8.2971924218214976E-2</v>
      </c>
    </row>
    <row r="60" spans="2:38" ht="5.0999999999999996" customHeight="1">
      <c r="B60" s="25"/>
      <c r="C60" s="49"/>
      <c r="D60" s="49"/>
      <c r="E60" s="49"/>
      <c r="F60" s="41"/>
      <c r="G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C60" s="42"/>
      <c r="AD60" s="42"/>
      <c r="AE60" s="42"/>
      <c r="AF60" s="42"/>
      <c r="AG60" s="42"/>
      <c r="AH60" s="42"/>
      <c r="AI60" s="42"/>
      <c r="AJ60" s="42"/>
      <c r="AK60" s="42"/>
      <c r="AL60" s="39"/>
    </row>
    <row r="61" spans="2:38" ht="12.75" customHeight="1">
      <c r="B61" s="78" t="s">
        <v>79</v>
      </c>
      <c r="C61" s="82"/>
      <c r="D61" s="82"/>
      <c r="E61" s="82"/>
      <c r="F61" s="82"/>
      <c r="G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32"/>
      <c r="Z61" s="82"/>
      <c r="AA61" s="82"/>
      <c r="AC61" s="32"/>
      <c r="AD61" s="32"/>
      <c r="AE61" s="32"/>
      <c r="AF61" s="32"/>
      <c r="AG61" s="32"/>
      <c r="AH61" s="32"/>
      <c r="AI61" s="32"/>
      <c r="AJ61" s="32"/>
      <c r="AK61" s="11"/>
      <c r="AL61" s="75"/>
    </row>
    <row r="62" spans="2:38" ht="12.75" customHeight="1">
      <c r="B62" s="9" t="s">
        <v>208</v>
      </c>
      <c r="C62" s="82">
        <v>2084</v>
      </c>
      <c r="D62" s="82">
        <v>2252</v>
      </c>
      <c r="E62" s="82">
        <v>2446</v>
      </c>
      <c r="F62" s="82">
        <v>2859</v>
      </c>
      <c r="G62" s="82">
        <v>3294</v>
      </c>
      <c r="I62" s="82">
        <v>2053</v>
      </c>
      <c r="J62" s="82">
        <v>2082</v>
      </c>
      <c r="K62" s="82">
        <v>2109</v>
      </c>
      <c r="L62" s="32">
        <f t="shared" ref="L62:L66" si="311">D62</f>
        <v>2252</v>
      </c>
      <c r="M62" s="82">
        <v>2265</v>
      </c>
      <c r="N62" s="82">
        <v>2246</v>
      </c>
      <c r="O62" s="82">
        <v>2273</v>
      </c>
      <c r="P62" s="32">
        <f t="shared" ref="P62:P66" si="312">E62</f>
        <v>2446</v>
      </c>
      <c r="Q62" s="82">
        <v>2478</v>
      </c>
      <c r="R62" s="82">
        <v>2534</v>
      </c>
      <c r="S62" s="82">
        <v>2635</v>
      </c>
      <c r="T62" s="32">
        <f t="shared" ref="T62:T66" si="313">F62</f>
        <v>2859</v>
      </c>
      <c r="U62" s="82">
        <v>2897</v>
      </c>
      <c r="V62" s="82">
        <v>2951</v>
      </c>
      <c r="W62" s="82">
        <v>3072</v>
      </c>
      <c r="X62" s="32">
        <f t="shared" ref="X62:X66" si="314">G62</f>
        <v>3294</v>
      </c>
      <c r="Y62" s="82">
        <v>3389</v>
      </c>
      <c r="Z62" s="82">
        <v>3461</v>
      </c>
      <c r="AA62" s="82">
        <v>3795</v>
      </c>
      <c r="AC62" s="32">
        <f t="shared" ref="AC62:AJ63" si="315">T62</f>
        <v>2859</v>
      </c>
      <c r="AD62" s="32">
        <f t="shared" si="315"/>
        <v>2897</v>
      </c>
      <c r="AE62" s="32">
        <f t="shared" si="315"/>
        <v>2951</v>
      </c>
      <c r="AF62" s="32">
        <f t="shared" si="315"/>
        <v>3072</v>
      </c>
      <c r="AG62" s="32">
        <f t="shared" si="315"/>
        <v>3294</v>
      </c>
      <c r="AH62" s="32">
        <f t="shared" si="315"/>
        <v>3389</v>
      </c>
      <c r="AI62" s="32">
        <f t="shared" si="315"/>
        <v>3461</v>
      </c>
      <c r="AJ62" s="32">
        <f t="shared" si="315"/>
        <v>3795</v>
      </c>
      <c r="AK62" s="11"/>
      <c r="AL62" s="75">
        <f t="shared" ref="AL62:AL67" si="316">SUM(AJ62/AF62)-1</f>
        <v>0.2353515625</v>
      </c>
    </row>
    <row r="63" spans="2:38" ht="12.75" customHeight="1">
      <c r="B63" s="9" t="s">
        <v>106</v>
      </c>
      <c r="C63" s="82">
        <v>9951</v>
      </c>
      <c r="D63" s="82">
        <v>11988</v>
      </c>
      <c r="E63" s="82">
        <v>12920</v>
      </c>
      <c r="F63" s="82">
        <v>14387</v>
      </c>
      <c r="G63" s="82">
        <v>17089</v>
      </c>
      <c r="I63" s="82">
        <v>10868</v>
      </c>
      <c r="J63" s="82">
        <v>10874</v>
      </c>
      <c r="K63" s="82">
        <v>11820</v>
      </c>
      <c r="L63" s="32">
        <f t="shared" si="311"/>
        <v>11988</v>
      </c>
      <c r="M63" s="82">
        <v>12949</v>
      </c>
      <c r="N63" s="82">
        <v>12883</v>
      </c>
      <c r="O63" s="82">
        <v>12852</v>
      </c>
      <c r="P63" s="32">
        <f t="shared" si="312"/>
        <v>12920</v>
      </c>
      <c r="Q63" s="82">
        <v>13269</v>
      </c>
      <c r="R63" s="82">
        <v>13659</v>
      </c>
      <c r="S63" s="82">
        <v>13608</v>
      </c>
      <c r="T63" s="32">
        <f t="shared" si="313"/>
        <v>14387</v>
      </c>
      <c r="U63" s="82">
        <v>14361</v>
      </c>
      <c r="V63" s="82">
        <v>14397</v>
      </c>
      <c r="W63" s="82">
        <v>15033</v>
      </c>
      <c r="X63" s="32">
        <f t="shared" si="314"/>
        <v>17089</v>
      </c>
      <c r="Y63" s="82">
        <v>17340</v>
      </c>
      <c r="Z63" s="82">
        <v>18076</v>
      </c>
      <c r="AA63" s="82">
        <v>18214</v>
      </c>
      <c r="AC63" s="32">
        <f t="shared" si="315"/>
        <v>14387</v>
      </c>
      <c r="AD63" s="32">
        <f t="shared" si="315"/>
        <v>14361</v>
      </c>
      <c r="AE63" s="32">
        <f t="shared" si="315"/>
        <v>14397</v>
      </c>
      <c r="AF63" s="32">
        <f t="shared" si="315"/>
        <v>15033</v>
      </c>
      <c r="AG63" s="32">
        <f t="shared" si="315"/>
        <v>17089</v>
      </c>
      <c r="AH63" s="32">
        <f t="shared" si="315"/>
        <v>17340</v>
      </c>
      <c r="AI63" s="32">
        <f t="shared" si="315"/>
        <v>18076</v>
      </c>
      <c r="AJ63" s="32">
        <f t="shared" si="315"/>
        <v>18214</v>
      </c>
      <c r="AK63" s="11"/>
      <c r="AL63" s="75">
        <f t="shared" si="316"/>
        <v>0.21160114414953779</v>
      </c>
    </row>
    <row r="64" spans="2:38" ht="12.75" customHeight="1">
      <c r="B64" s="9" t="s">
        <v>209</v>
      </c>
      <c r="C64" s="82">
        <v>5917</v>
      </c>
      <c r="D64" s="82">
        <v>6121</v>
      </c>
      <c r="E64" s="82">
        <v>5902</v>
      </c>
      <c r="F64" s="82">
        <v>6003</v>
      </c>
      <c r="G64" s="82">
        <v>6684</v>
      </c>
      <c r="I64" s="82">
        <v>5991</v>
      </c>
      <c r="J64" s="82">
        <v>5788</v>
      </c>
      <c r="K64" s="82">
        <v>6227</v>
      </c>
      <c r="L64" s="32">
        <f t="shared" si="311"/>
        <v>6121</v>
      </c>
      <c r="M64" s="82">
        <v>6581</v>
      </c>
      <c r="N64" s="82">
        <v>6349</v>
      </c>
      <c r="O64" s="82">
        <v>6058</v>
      </c>
      <c r="P64" s="32">
        <f t="shared" si="312"/>
        <v>5902</v>
      </c>
      <c r="Q64" s="82">
        <v>6060</v>
      </c>
      <c r="R64" s="82">
        <v>6063</v>
      </c>
      <c r="S64" s="82">
        <v>5849</v>
      </c>
      <c r="T64" s="32">
        <f t="shared" si="313"/>
        <v>6003</v>
      </c>
      <c r="U64" s="82">
        <v>5839</v>
      </c>
      <c r="V64" s="82">
        <v>5417</v>
      </c>
      <c r="W64" s="82">
        <v>5754</v>
      </c>
      <c r="X64" s="32">
        <f t="shared" si="314"/>
        <v>6684</v>
      </c>
      <c r="Y64" s="82">
        <v>6566</v>
      </c>
      <c r="Z64" s="82">
        <v>7260</v>
      </c>
      <c r="AA64" s="82">
        <v>7162</v>
      </c>
      <c r="AC64" s="32">
        <f t="shared" ref="AC64" si="317">T64</f>
        <v>6003</v>
      </c>
      <c r="AD64" s="32">
        <f t="shared" ref="AD64" si="318">U64</f>
        <v>5839</v>
      </c>
      <c r="AE64" s="32">
        <f t="shared" ref="AE64" si="319">V64</f>
        <v>5417</v>
      </c>
      <c r="AF64" s="32">
        <f t="shared" ref="AF64" si="320">W64</f>
        <v>5754</v>
      </c>
      <c r="AG64" s="32">
        <f t="shared" ref="AG64" si="321">X64</f>
        <v>6684</v>
      </c>
      <c r="AH64" s="32">
        <f t="shared" ref="AH64" si="322">Y64</f>
        <v>6566</v>
      </c>
      <c r="AI64" s="32">
        <f t="shared" ref="AI64" si="323">Z64</f>
        <v>7260</v>
      </c>
      <c r="AJ64" s="32">
        <f t="shared" ref="AJ64" si="324">AA64</f>
        <v>7162</v>
      </c>
      <c r="AK64" s="11"/>
      <c r="AL64" s="75">
        <f t="shared" si="316"/>
        <v>0.24469933958985046</v>
      </c>
    </row>
    <row r="65" spans="2:38" ht="12.75" customHeight="1">
      <c r="B65" s="9" t="s">
        <v>210</v>
      </c>
      <c r="C65" s="82">
        <v>4210</v>
      </c>
      <c r="D65" s="82">
        <v>4142</v>
      </c>
      <c r="E65" s="82">
        <v>3942</v>
      </c>
      <c r="F65" s="82">
        <v>3841</v>
      </c>
      <c r="G65" s="82">
        <v>3655</v>
      </c>
      <c r="I65" s="82">
        <v>4173</v>
      </c>
      <c r="J65" s="82">
        <v>4036</v>
      </c>
      <c r="K65" s="82">
        <v>4049</v>
      </c>
      <c r="L65" s="32">
        <f t="shared" si="311"/>
        <v>4142</v>
      </c>
      <c r="M65" s="82">
        <v>4102</v>
      </c>
      <c r="N65" s="82">
        <v>4059</v>
      </c>
      <c r="O65" s="82">
        <v>4018</v>
      </c>
      <c r="P65" s="32">
        <f t="shared" si="312"/>
        <v>3942</v>
      </c>
      <c r="Q65" s="82">
        <v>3900</v>
      </c>
      <c r="R65" s="82">
        <v>3865</v>
      </c>
      <c r="S65" s="82">
        <v>3840</v>
      </c>
      <c r="T65" s="32">
        <f t="shared" si="313"/>
        <v>3841</v>
      </c>
      <c r="U65" s="82">
        <v>3792</v>
      </c>
      <c r="V65" s="82">
        <v>3801</v>
      </c>
      <c r="W65" s="82">
        <v>3816</v>
      </c>
      <c r="X65" s="32">
        <f t="shared" si="314"/>
        <v>3655</v>
      </c>
      <c r="Y65" s="82">
        <v>3676</v>
      </c>
      <c r="Z65" s="82">
        <v>3778</v>
      </c>
      <c r="AA65" s="82">
        <v>3669</v>
      </c>
      <c r="AC65" s="32">
        <f t="shared" ref="AC65" si="325">T65</f>
        <v>3841</v>
      </c>
      <c r="AD65" s="32">
        <f t="shared" ref="AD65" si="326">U65</f>
        <v>3792</v>
      </c>
      <c r="AE65" s="32">
        <f t="shared" ref="AE65" si="327">V65</f>
        <v>3801</v>
      </c>
      <c r="AF65" s="32">
        <f t="shared" ref="AF65" si="328">W65</f>
        <v>3816</v>
      </c>
      <c r="AG65" s="32">
        <f t="shared" ref="AG65" si="329">X65</f>
        <v>3655</v>
      </c>
      <c r="AH65" s="32">
        <f t="shared" ref="AH65" si="330">Y65</f>
        <v>3676</v>
      </c>
      <c r="AI65" s="32">
        <f t="shared" ref="AI65" si="331">Z65</f>
        <v>3778</v>
      </c>
      <c r="AJ65" s="32">
        <f t="shared" ref="AJ65" si="332">AA65</f>
        <v>3669</v>
      </c>
      <c r="AK65" s="11"/>
      <c r="AL65" s="75">
        <f t="shared" ref="AL65" si="333">SUM(AJ65/AF65)-1</f>
        <v>-3.8522012578616316E-2</v>
      </c>
    </row>
    <row r="66" spans="2:38" ht="12.75" customHeight="1">
      <c r="B66" s="9" t="s">
        <v>211</v>
      </c>
      <c r="C66" s="82">
        <v>1921</v>
      </c>
      <c r="D66" s="82">
        <v>1409</v>
      </c>
      <c r="E66" s="82">
        <v>1500</v>
      </c>
      <c r="F66" s="82">
        <v>1531</v>
      </c>
      <c r="G66" s="82">
        <v>1753</v>
      </c>
      <c r="I66" s="82">
        <v>1714</v>
      </c>
      <c r="J66" s="82">
        <v>1629</v>
      </c>
      <c r="K66" s="82">
        <v>1444</v>
      </c>
      <c r="L66" s="32">
        <f t="shared" si="311"/>
        <v>1409</v>
      </c>
      <c r="M66" s="82">
        <v>1375</v>
      </c>
      <c r="N66" s="82">
        <v>1569</v>
      </c>
      <c r="O66" s="82">
        <v>1602</v>
      </c>
      <c r="P66" s="32">
        <f t="shared" si="312"/>
        <v>1500</v>
      </c>
      <c r="Q66" s="82">
        <v>1482</v>
      </c>
      <c r="R66" s="82">
        <v>1595</v>
      </c>
      <c r="S66" s="82">
        <v>1605</v>
      </c>
      <c r="T66" s="32">
        <f t="shared" si="313"/>
        <v>1531</v>
      </c>
      <c r="U66" s="82">
        <v>1596</v>
      </c>
      <c r="V66" s="82">
        <v>1550</v>
      </c>
      <c r="W66" s="82">
        <v>1642</v>
      </c>
      <c r="X66" s="32">
        <f t="shared" si="314"/>
        <v>1753</v>
      </c>
      <c r="Y66" s="82">
        <v>1834</v>
      </c>
      <c r="Z66" s="82">
        <v>1864</v>
      </c>
      <c r="AA66" s="82">
        <v>1832</v>
      </c>
      <c r="AC66" s="32">
        <f t="shared" ref="AC66" si="334">T66</f>
        <v>1531</v>
      </c>
      <c r="AD66" s="32">
        <f t="shared" ref="AD66" si="335">U66</f>
        <v>1596</v>
      </c>
      <c r="AE66" s="32">
        <f t="shared" ref="AE66" si="336">V66</f>
        <v>1550</v>
      </c>
      <c r="AF66" s="32">
        <f t="shared" ref="AF66" si="337">W66</f>
        <v>1642</v>
      </c>
      <c r="AG66" s="32">
        <f t="shared" ref="AG66" si="338">X66</f>
        <v>1753</v>
      </c>
      <c r="AH66" s="32">
        <f t="shared" ref="AH66" si="339">Y66</f>
        <v>1834</v>
      </c>
      <c r="AI66" s="32">
        <f t="shared" ref="AI66" si="340">Z66</f>
        <v>1864</v>
      </c>
      <c r="AJ66" s="32">
        <f t="shared" ref="AJ66" si="341">AA66</f>
        <v>1832</v>
      </c>
      <c r="AK66" s="11"/>
      <c r="AL66" s="75">
        <f t="shared" si="316"/>
        <v>0.11571254567600486</v>
      </c>
    </row>
    <row r="67" spans="2:38" ht="12.75" customHeight="1">
      <c r="B67" s="13" t="s">
        <v>19</v>
      </c>
      <c r="C67" s="14">
        <f t="shared" ref="C67:D67" si="342">SUM(C62:C66)+C59</f>
        <v>30777</v>
      </c>
      <c r="D67" s="14">
        <f t="shared" si="342"/>
        <v>32229</v>
      </c>
      <c r="E67" s="14">
        <f>SUM(E62:E66)+E59</f>
        <v>32470</v>
      </c>
      <c r="F67" s="14">
        <f>SUM(F62:F66)+F59</f>
        <v>35136</v>
      </c>
      <c r="G67" s="14">
        <f>SUM(G62:G66)+G59</f>
        <v>39395</v>
      </c>
      <c r="I67" s="14">
        <f t="shared" ref="I67" si="343">SUM(I62:I66)+I59</f>
        <v>30900</v>
      </c>
      <c r="J67" s="14">
        <f t="shared" ref="J67" si="344">SUM(J62:J66)+J59</f>
        <v>31168</v>
      </c>
      <c r="K67" s="14">
        <f t="shared" ref="K67" si="345">SUM(K62:K66)+K59</f>
        <v>31877</v>
      </c>
      <c r="L67" s="14">
        <f t="shared" ref="L67" si="346">SUM(L62:L66)+L59</f>
        <v>32229</v>
      </c>
      <c r="M67" s="14">
        <f t="shared" ref="M67" si="347">SUM(M62:M66)+M59</f>
        <v>32337</v>
      </c>
      <c r="N67" s="14">
        <f t="shared" ref="N67" si="348">SUM(N62:N66)+N59</f>
        <v>32189</v>
      </c>
      <c r="O67" s="14">
        <f t="shared" ref="O67" si="349">SUM(O62:O66)+O59</f>
        <v>31947</v>
      </c>
      <c r="P67" s="14">
        <f t="shared" ref="P67" si="350">SUM(P62:P66)+P59</f>
        <v>32470</v>
      </c>
      <c r="Q67" s="14">
        <f t="shared" ref="Q67:AA67" si="351">SUM(Q62:Q66)+Q59</f>
        <v>32892</v>
      </c>
      <c r="R67" s="14">
        <f t="shared" si="351"/>
        <v>33602</v>
      </c>
      <c r="S67" s="14">
        <f t="shared" si="351"/>
        <v>34042</v>
      </c>
      <c r="T67" s="14">
        <f t="shared" si="351"/>
        <v>35136</v>
      </c>
      <c r="U67" s="14">
        <f t="shared" si="351"/>
        <v>36669</v>
      </c>
      <c r="V67" s="14">
        <f t="shared" si="351"/>
        <v>37108</v>
      </c>
      <c r="W67" s="14">
        <f t="shared" si="351"/>
        <v>38079</v>
      </c>
      <c r="X67" s="14">
        <f t="shared" si="351"/>
        <v>39395</v>
      </c>
      <c r="Y67" s="14">
        <f t="shared" si="351"/>
        <v>40140</v>
      </c>
      <c r="Z67" s="14">
        <f t="shared" si="351"/>
        <v>41560</v>
      </c>
      <c r="AA67" s="14">
        <f t="shared" si="351"/>
        <v>42707</v>
      </c>
      <c r="AC67" s="14">
        <f t="shared" ref="AC67:AJ67" si="352">SUM(AC62:AC66)+AC59</f>
        <v>35136</v>
      </c>
      <c r="AD67" s="14">
        <f t="shared" si="352"/>
        <v>36669</v>
      </c>
      <c r="AE67" s="14">
        <f t="shared" si="352"/>
        <v>37108</v>
      </c>
      <c r="AF67" s="14">
        <f t="shared" si="352"/>
        <v>38079</v>
      </c>
      <c r="AG67" s="14">
        <f t="shared" si="352"/>
        <v>39395</v>
      </c>
      <c r="AH67" s="14">
        <f t="shared" si="352"/>
        <v>40140</v>
      </c>
      <c r="AI67" s="14">
        <f t="shared" si="352"/>
        <v>41560</v>
      </c>
      <c r="AJ67" s="34">
        <f t="shared" si="352"/>
        <v>42707</v>
      </c>
      <c r="AK67" s="42"/>
      <c r="AL67" s="76">
        <f t="shared" si="316"/>
        <v>0.12153680506315823</v>
      </c>
    </row>
    <row r="68" spans="2:38" ht="12.75" customHeight="1">
      <c r="B68" s="25"/>
      <c r="C68" s="50"/>
      <c r="D68" s="50"/>
      <c r="E68" s="50"/>
      <c r="F68" s="41"/>
      <c r="G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C68" s="42"/>
      <c r="AD68" s="42"/>
      <c r="AE68" s="42"/>
      <c r="AF68" s="42"/>
      <c r="AG68" s="42"/>
      <c r="AH68" s="42"/>
      <c r="AI68" s="42"/>
      <c r="AJ68" s="42"/>
      <c r="AK68" s="42"/>
      <c r="AL68" s="39"/>
    </row>
    <row r="69" spans="2:38" ht="12.75" customHeight="1">
      <c r="B69" s="78" t="s">
        <v>45</v>
      </c>
      <c r="C69" s="50"/>
      <c r="D69" s="50"/>
      <c r="E69" s="50"/>
      <c r="F69" s="41"/>
      <c r="G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C69" s="42"/>
      <c r="AD69" s="42"/>
      <c r="AE69" s="42"/>
      <c r="AF69" s="42"/>
      <c r="AG69" s="42"/>
      <c r="AH69" s="42"/>
      <c r="AI69" s="42"/>
      <c r="AJ69" s="42"/>
      <c r="AK69" s="42"/>
      <c r="AL69" s="39"/>
    </row>
    <row r="70" spans="2:38" ht="12.75" customHeight="1">
      <c r="B70" s="120" t="s">
        <v>187</v>
      </c>
      <c r="C70" s="121">
        <v>13</v>
      </c>
      <c r="D70" s="121">
        <v>260</v>
      </c>
      <c r="E70" s="121">
        <v>20</v>
      </c>
      <c r="F70" s="121">
        <v>531</v>
      </c>
      <c r="G70" s="121">
        <v>1779</v>
      </c>
      <c r="I70" s="82">
        <v>13</v>
      </c>
      <c r="J70" s="82">
        <v>262</v>
      </c>
      <c r="K70" s="82">
        <v>261</v>
      </c>
      <c r="L70" s="32">
        <f t="shared" ref="L70:L73" si="353">D70</f>
        <v>260</v>
      </c>
      <c r="M70" s="82">
        <v>238</v>
      </c>
      <c r="N70" s="82">
        <v>170</v>
      </c>
      <c r="O70" s="82">
        <v>20</v>
      </c>
      <c r="P70" s="32">
        <f t="shared" ref="P70:P73" si="354">E70</f>
        <v>20</v>
      </c>
      <c r="Q70" s="82">
        <v>510</v>
      </c>
      <c r="R70" s="82">
        <v>559</v>
      </c>
      <c r="S70" s="82">
        <v>513</v>
      </c>
      <c r="T70" s="32">
        <f t="shared" ref="T70:T73" si="355">F70</f>
        <v>531</v>
      </c>
      <c r="U70" s="82">
        <v>1085</v>
      </c>
      <c r="V70" s="82">
        <v>1580</v>
      </c>
      <c r="W70" s="82">
        <v>1652</v>
      </c>
      <c r="X70" s="32">
        <f t="shared" ref="X70:X73" si="356">G70</f>
        <v>1779</v>
      </c>
      <c r="Y70" s="82">
        <v>777</v>
      </c>
      <c r="Z70" s="82">
        <v>480</v>
      </c>
      <c r="AA70" s="82">
        <v>483</v>
      </c>
      <c r="AC70" s="97">
        <f t="shared" ref="AC70:AJ71" si="357">T70</f>
        <v>531</v>
      </c>
      <c r="AD70" s="97">
        <f t="shared" si="357"/>
        <v>1085</v>
      </c>
      <c r="AE70" s="97">
        <f t="shared" si="357"/>
        <v>1580</v>
      </c>
      <c r="AF70" s="97">
        <f t="shared" si="357"/>
        <v>1652</v>
      </c>
      <c r="AG70" s="97">
        <f t="shared" si="357"/>
        <v>1779</v>
      </c>
      <c r="AH70" s="97">
        <f t="shared" si="357"/>
        <v>777</v>
      </c>
      <c r="AI70" s="97">
        <f t="shared" si="357"/>
        <v>480</v>
      </c>
      <c r="AJ70" s="97">
        <f t="shared" si="357"/>
        <v>483</v>
      </c>
      <c r="AK70" s="11"/>
      <c r="AL70" s="75">
        <f t="shared" ref="AL70:AL74" si="358">SUM(AJ70/AF70)-1</f>
        <v>-0.7076271186440678</v>
      </c>
    </row>
    <row r="71" spans="2:38" ht="12.75" customHeight="1">
      <c r="B71" s="120" t="s">
        <v>44</v>
      </c>
      <c r="C71" s="121">
        <v>513</v>
      </c>
      <c r="D71" s="121">
        <v>794</v>
      </c>
      <c r="E71" s="121">
        <v>862</v>
      </c>
      <c r="F71" s="121">
        <v>943</v>
      </c>
      <c r="G71" s="121">
        <v>960</v>
      </c>
      <c r="I71" s="82">
        <v>615</v>
      </c>
      <c r="J71" s="82">
        <v>689</v>
      </c>
      <c r="K71" s="82">
        <v>674</v>
      </c>
      <c r="L71" s="32">
        <f t="shared" si="353"/>
        <v>794</v>
      </c>
      <c r="M71" s="82">
        <v>696</v>
      </c>
      <c r="N71" s="82">
        <v>732</v>
      </c>
      <c r="O71" s="82">
        <v>803</v>
      </c>
      <c r="P71" s="32">
        <f t="shared" si="354"/>
        <v>862</v>
      </c>
      <c r="Q71" s="82">
        <v>868</v>
      </c>
      <c r="R71" s="82">
        <v>899</v>
      </c>
      <c r="S71" s="82">
        <v>929</v>
      </c>
      <c r="T71" s="32">
        <f t="shared" si="355"/>
        <v>943</v>
      </c>
      <c r="U71" s="82">
        <v>921</v>
      </c>
      <c r="V71" s="82">
        <v>906</v>
      </c>
      <c r="W71" s="82">
        <v>908</v>
      </c>
      <c r="X71" s="32">
        <f t="shared" si="356"/>
        <v>960</v>
      </c>
      <c r="Y71" s="82">
        <v>1004</v>
      </c>
      <c r="Z71" s="82">
        <v>962</v>
      </c>
      <c r="AA71" s="82">
        <v>1002</v>
      </c>
      <c r="AC71" s="97">
        <f t="shared" si="357"/>
        <v>943</v>
      </c>
      <c r="AD71" s="97">
        <f t="shared" si="357"/>
        <v>921</v>
      </c>
      <c r="AE71" s="97">
        <f t="shared" si="357"/>
        <v>906</v>
      </c>
      <c r="AF71" s="97">
        <f t="shared" si="357"/>
        <v>908</v>
      </c>
      <c r="AG71" s="97">
        <f t="shared" si="357"/>
        <v>960</v>
      </c>
      <c r="AH71" s="97">
        <f t="shared" si="357"/>
        <v>1004</v>
      </c>
      <c r="AI71" s="97">
        <f t="shared" si="357"/>
        <v>962</v>
      </c>
      <c r="AJ71" s="97">
        <f t="shared" si="357"/>
        <v>1002</v>
      </c>
      <c r="AK71" s="11"/>
      <c r="AL71" s="75">
        <f t="shared" ref="AL71" si="359">SUM(AJ71/AF71)-1</f>
        <v>0.1035242290748899</v>
      </c>
    </row>
    <row r="72" spans="2:38" ht="12.75" customHeight="1">
      <c r="B72" s="120" t="s">
        <v>149</v>
      </c>
      <c r="C72" s="121">
        <v>2197</v>
      </c>
      <c r="D72" s="121">
        <v>2436</v>
      </c>
      <c r="E72" s="121">
        <v>2160</v>
      </c>
      <c r="F72" s="121">
        <v>2646</v>
      </c>
      <c r="G72" s="121">
        <v>2773</v>
      </c>
      <c r="I72" s="82">
        <v>2060</v>
      </c>
      <c r="J72" s="82">
        <v>2442</v>
      </c>
      <c r="K72" s="82">
        <v>2418</v>
      </c>
      <c r="L72" s="32">
        <f t="shared" si="353"/>
        <v>2436</v>
      </c>
      <c r="M72" s="82">
        <v>2306</v>
      </c>
      <c r="N72" s="82">
        <v>2197</v>
      </c>
      <c r="O72" s="82">
        <v>1974</v>
      </c>
      <c r="P72" s="32">
        <f t="shared" si="354"/>
        <v>2160</v>
      </c>
      <c r="Q72" s="82">
        <v>1918</v>
      </c>
      <c r="R72" s="82">
        <v>2164</v>
      </c>
      <c r="S72" s="82">
        <v>2255</v>
      </c>
      <c r="T72" s="32">
        <f t="shared" si="355"/>
        <v>2646</v>
      </c>
      <c r="U72" s="82">
        <v>2083</v>
      </c>
      <c r="V72" s="82">
        <v>2320</v>
      </c>
      <c r="W72" s="82">
        <v>2460</v>
      </c>
      <c r="X72" s="32">
        <f t="shared" si="356"/>
        <v>2773</v>
      </c>
      <c r="Y72" s="82">
        <v>2354</v>
      </c>
      <c r="Z72" s="82">
        <v>2797</v>
      </c>
      <c r="AA72" s="82">
        <v>2981</v>
      </c>
      <c r="AC72" s="97">
        <f t="shared" ref="AC72:AC73" si="360">T72</f>
        <v>2646</v>
      </c>
      <c r="AD72" s="97">
        <f t="shared" ref="AD72:AD73" si="361">U72</f>
        <v>2083</v>
      </c>
      <c r="AE72" s="97">
        <f t="shared" ref="AE72:AE73" si="362">V72</f>
        <v>2320</v>
      </c>
      <c r="AF72" s="97">
        <f t="shared" ref="AF72:AF73" si="363">W72</f>
        <v>2460</v>
      </c>
      <c r="AG72" s="97">
        <f t="shared" ref="AG72:AG73" si="364">X72</f>
        <v>2773</v>
      </c>
      <c r="AH72" s="97">
        <f t="shared" ref="AH72:AH73" si="365">Y72</f>
        <v>2354</v>
      </c>
      <c r="AI72" s="97">
        <f t="shared" ref="AI72:AI73" si="366">Z72</f>
        <v>2797</v>
      </c>
      <c r="AJ72" s="97">
        <f t="shared" ref="AJ72:AJ73" si="367">AA72</f>
        <v>2981</v>
      </c>
      <c r="AK72" s="11"/>
      <c r="AL72" s="75">
        <f t="shared" ref="AL72:AL73" si="368">SUM(AJ72/AF72)-1</f>
        <v>0.21178861788617875</v>
      </c>
    </row>
    <row r="73" spans="2:38" ht="12.75" customHeight="1">
      <c r="B73" s="120" t="s">
        <v>188</v>
      </c>
      <c r="C73" s="121">
        <v>958</v>
      </c>
      <c r="D73" s="121">
        <v>783</v>
      </c>
      <c r="E73" s="121">
        <v>761</v>
      </c>
      <c r="F73" s="121">
        <v>814</v>
      </c>
      <c r="G73" s="121">
        <v>887</v>
      </c>
      <c r="I73" s="82">
        <v>705</v>
      </c>
      <c r="J73" s="82">
        <v>680</v>
      </c>
      <c r="K73" s="82">
        <v>669</v>
      </c>
      <c r="L73" s="32">
        <f t="shared" si="353"/>
        <v>783</v>
      </c>
      <c r="M73" s="82">
        <v>1034</v>
      </c>
      <c r="N73" s="82">
        <v>784</v>
      </c>
      <c r="O73" s="82">
        <v>752</v>
      </c>
      <c r="P73" s="32">
        <f t="shared" si="354"/>
        <v>761</v>
      </c>
      <c r="Q73" s="82">
        <v>787</v>
      </c>
      <c r="R73" s="82">
        <v>940</v>
      </c>
      <c r="S73" s="82">
        <v>882</v>
      </c>
      <c r="T73" s="32">
        <f t="shared" si="355"/>
        <v>814</v>
      </c>
      <c r="U73" s="82">
        <v>827</v>
      </c>
      <c r="V73" s="82">
        <v>770</v>
      </c>
      <c r="W73" s="82">
        <v>891</v>
      </c>
      <c r="X73" s="32">
        <f t="shared" si="356"/>
        <v>887</v>
      </c>
      <c r="Y73" s="82">
        <v>923</v>
      </c>
      <c r="Z73" s="82">
        <v>952</v>
      </c>
      <c r="AA73" s="82">
        <v>862</v>
      </c>
      <c r="AC73" s="97">
        <f t="shared" si="360"/>
        <v>814</v>
      </c>
      <c r="AD73" s="97">
        <f t="shared" si="361"/>
        <v>827</v>
      </c>
      <c r="AE73" s="97">
        <f t="shared" si="362"/>
        <v>770</v>
      </c>
      <c r="AF73" s="97">
        <f t="shared" si="363"/>
        <v>891</v>
      </c>
      <c r="AG73" s="97">
        <f t="shared" si="364"/>
        <v>887</v>
      </c>
      <c r="AH73" s="97">
        <f t="shared" si="365"/>
        <v>923</v>
      </c>
      <c r="AI73" s="97">
        <f t="shared" si="366"/>
        <v>952</v>
      </c>
      <c r="AJ73" s="97">
        <f t="shared" si="367"/>
        <v>862</v>
      </c>
      <c r="AK73" s="11"/>
      <c r="AL73" s="75">
        <f t="shared" si="368"/>
        <v>-3.2547699214365844E-2</v>
      </c>
    </row>
    <row r="74" spans="2:38" ht="12.75" customHeight="1">
      <c r="B74" s="25" t="s">
        <v>17</v>
      </c>
      <c r="C74" s="26">
        <f>SUM(C70:C73)</f>
        <v>3681</v>
      </c>
      <c r="D74" s="26">
        <f>SUM(D70:D73)</f>
        <v>4273</v>
      </c>
      <c r="E74" s="26">
        <f>SUM(E70:E73)</f>
        <v>3803</v>
      </c>
      <c r="F74" s="26">
        <f>SUM(F70:F73)</f>
        <v>4934</v>
      </c>
      <c r="G74" s="26">
        <f>SUM(G70:G73)</f>
        <v>6399</v>
      </c>
      <c r="I74" s="26">
        <f t="shared" ref="I74:AA74" si="369">SUM(I70:I73)</f>
        <v>3393</v>
      </c>
      <c r="J74" s="26">
        <f t="shared" si="369"/>
        <v>4073</v>
      </c>
      <c r="K74" s="26">
        <f t="shared" si="369"/>
        <v>4022</v>
      </c>
      <c r="L74" s="26">
        <f t="shared" si="369"/>
        <v>4273</v>
      </c>
      <c r="M74" s="26">
        <f t="shared" si="369"/>
        <v>4274</v>
      </c>
      <c r="N74" s="26">
        <f t="shared" si="369"/>
        <v>3883</v>
      </c>
      <c r="O74" s="26">
        <f t="shared" si="369"/>
        <v>3549</v>
      </c>
      <c r="P74" s="26">
        <f t="shared" si="369"/>
        <v>3803</v>
      </c>
      <c r="Q74" s="26">
        <f t="shared" si="369"/>
        <v>4083</v>
      </c>
      <c r="R74" s="26">
        <f t="shared" si="369"/>
        <v>4562</v>
      </c>
      <c r="S74" s="26">
        <f t="shared" si="369"/>
        <v>4579</v>
      </c>
      <c r="T74" s="26">
        <f t="shared" si="369"/>
        <v>4934</v>
      </c>
      <c r="U74" s="26">
        <f t="shared" si="369"/>
        <v>4916</v>
      </c>
      <c r="V74" s="26">
        <f t="shared" si="369"/>
        <v>5576</v>
      </c>
      <c r="W74" s="26">
        <f t="shared" si="369"/>
        <v>5911</v>
      </c>
      <c r="X74" s="26">
        <f t="shared" si="369"/>
        <v>6399</v>
      </c>
      <c r="Y74" s="26">
        <f t="shared" si="369"/>
        <v>5058</v>
      </c>
      <c r="Z74" s="26">
        <f t="shared" si="369"/>
        <v>5191</v>
      </c>
      <c r="AA74" s="26">
        <f t="shared" si="369"/>
        <v>5328</v>
      </c>
      <c r="AB74" s="48"/>
      <c r="AC74" s="26">
        <f t="shared" ref="AC74:AJ74" si="370">SUM(AC70:AC73)</f>
        <v>4934</v>
      </c>
      <c r="AD74" s="26">
        <f t="shared" si="370"/>
        <v>4916</v>
      </c>
      <c r="AE74" s="26">
        <f t="shared" si="370"/>
        <v>5576</v>
      </c>
      <c r="AF74" s="26">
        <f t="shared" si="370"/>
        <v>5911</v>
      </c>
      <c r="AG74" s="26">
        <f t="shared" si="370"/>
        <v>6399</v>
      </c>
      <c r="AH74" s="26">
        <f t="shared" si="370"/>
        <v>5058</v>
      </c>
      <c r="AI74" s="26">
        <f t="shared" si="370"/>
        <v>5191</v>
      </c>
      <c r="AJ74" s="26">
        <f t="shared" si="370"/>
        <v>5328</v>
      </c>
      <c r="AK74" s="42"/>
      <c r="AL74" s="76">
        <f t="shared" si="358"/>
        <v>-9.8629673490103209E-2</v>
      </c>
    </row>
    <row r="75" spans="2:38" ht="5.0999999999999996" customHeight="1">
      <c r="B75" s="25"/>
      <c r="C75" s="50"/>
      <c r="D75" s="50"/>
      <c r="E75" s="50"/>
      <c r="F75" s="41"/>
      <c r="G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C75" s="42"/>
      <c r="AD75" s="42"/>
      <c r="AE75" s="42"/>
      <c r="AF75" s="42"/>
      <c r="AG75" s="42"/>
      <c r="AH75" s="42"/>
      <c r="AI75" s="42"/>
      <c r="AJ75" s="42"/>
      <c r="AK75" s="42"/>
      <c r="AL75" s="39"/>
    </row>
    <row r="76" spans="2:38">
      <c r="B76" s="78" t="s">
        <v>80</v>
      </c>
      <c r="C76" s="50"/>
      <c r="D76" s="50"/>
      <c r="E76" s="50"/>
      <c r="F76" s="41"/>
      <c r="G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C76" s="42"/>
      <c r="AD76" s="42"/>
      <c r="AE76" s="42"/>
      <c r="AF76" s="42"/>
      <c r="AG76" s="42"/>
      <c r="AH76" s="42"/>
      <c r="AI76" s="42"/>
      <c r="AJ76" s="42"/>
      <c r="AK76" s="42"/>
      <c r="AL76" s="39"/>
    </row>
    <row r="77" spans="2:38" ht="12.75" customHeight="1">
      <c r="B77" s="120" t="s">
        <v>204</v>
      </c>
      <c r="C77" s="121">
        <v>9130</v>
      </c>
      <c r="D77" s="121">
        <v>8804</v>
      </c>
      <c r="E77" s="121">
        <v>8915</v>
      </c>
      <c r="F77" s="121">
        <v>8571</v>
      </c>
      <c r="G77" s="121">
        <v>8968</v>
      </c>
      <c r="H77" s="51"/>
      <c r="I77" s="82">
        <v>9082</v>
      </c>
      <c r="J77" s="82">
        <v>8847</v>
      </c>
      <c r="K77" s="82">
        <v>8824</v>
      </c>
      <c r="L77" s="32">
        <f t="shared" ref="L77:L79" si="371">D77</f>
        <v>8804</v>
      </c>
      <c r="M77" s="82">
        <v>9067</v>
      </c>
      <c r="N77" s="82">
        <v>8802</v>
      </c>
      <c r="O77" s="82">
        <v>8564</v>
      </c>
      <c r="P77" s="32">
        <f t="shared" ref="P77:P79" si="372">E77</f>
        <v>8915</v>
      </c>
      <c r="Q77" s="82">
        <v>8495</v>
      </c>
      <c r="R77" s="82">
        <v>8494</v>
      </c>
      <c r="S77" s="82">
        <v>8386</v>
      </c>
      <c r="T77" s="32">
        <f t="shared" ref="T77:T79" si="373">F77</f>
        <v>8571</v>
      </c>
      <c r="U77" s="82">
        <v>9534</v>
      </c>
      <c r="V77" s="82">
        <v>8991</v>
      </c>
      <c r="W77" s="82">
        <v>9233</v>
      </c>
      <c r="X77" s="32">
        <f t="shared" ref="X77:X79" si="374">G77</f>
        <v>8968</v>
      </c>
      <c r="Y77" s="82">
        <v>10532</v>
      </c>
      <c r="Z77" s="82">
        <v>11107</v>
      </c>
      <c r="AA77" s="82">
        <v>11117</v>
      </c>
      <c r="AB77" s="121"/>
      <c r="AC77" s="97">
        <f t="shared" ref="AC77:AJ77" si="375">T77</f>
        <v>8571</v>
      </c>
      <c r="AD77" s="97">
        <f t="shared" si="375"/>
        <v>9534</v>
      </c>
      <c r="AE77" s="97">
        <f t="shared" si="375"/>
        <v>8991</v>
      </c>
      <c r="AF77" s="97">
        <f t="shared" si="375"/>
        <v>9233</v>
      </c>
      <c r="AG77" s="97">
        <f t="shared" si="375"/>
        <v>8968</v>
      </c>
      <c r="AH77" s="97">
        <f t="shared" si="375"/>
        <v>10532</v>
      </c>
      <c r="AI77" s="97">
        <f t="shared" si="375"/>
        <v>11107</v>
      </c>
      <c r="AJ77" s="97">
        <f t="shared" si="375"/>
        <v>11117</v>
      </c>
      <c r="AK77" s="42"/>
      <c r="AL77" s="75">
        <f t="shared" ref="AL77:AL92" si="376">SUM(AJ77/AF77)-1</f>
        <v>0.2040506877504602</v>
      </c>
    </row>
    <row r="78" spans="2:38" ht="12.75" customHeight="1">
      <c r="B78" s="120" t="s">
        <v>203</v>
      </c>
      <c r="C78" s="121">
        <v>330</v>
      </c>
      <c r="D78" s="121">
        <v>310</v>
      </c>
      <c r="E78" s="121">
        <v>144</v>
      </c>
      <c r="F78" s="121">
        <v>134</v>
      </c>
      <c r="G78" s="121">
        <v>155</v>
      </c>
      <c r="H78" s="51"/>
      <c r="I78" s="82">
        <v>336</v>
      </c>
      <c r="J78" s="82">
        <v>115</v>
      </c>
      <c r="K78" s="82">
        <v>274</v>
      </c>
      <c r="L78" s="32">
        <f t="shared" si="371"/>
        <v>310</v>
      </c>
      <c r="M78" s="82">
        <v>261</v>
      </c>
      <c r="N78" s="82">
        <v>265</v>
      </c>
      <c r="O78" s="82">
        <v>278</v>
      </c>
      <c r="P78" s="32">
        <f t="shared" si="372"/>
        <v>144</v>
      </c>
      <c r="Q78" s="82">
        <v>210</v>
      </c>
      <c r="R78" s="82">
        <v>135</v>
      </c>
      <c r="S78" s="82">
        <v>91</v>
      </c>
      <c r="T78" s="32">
        <f t="shared" si="373"/>
        <v>134</v>
      </c>
      <c r="U78" s="82">
        <v>132</v>
      </c>
      <c r="V78" s="82">
        <v>132</v>
      </c>
      <c r="W78" s="82">
        <v>138</v>
      </c>
      <c r="X78" s="32">
        <f t="shared" si="374"/>
        <v>155</v>
      </c>
      <c r="Y78" s="82">
        <v>158</v>
      </c>
      <c r="Z78" s="82">
        <v>226</v>
      </c>
      <c r="AA78" s="82">
        <v>242</v>
      </c>
      <c r="AB78" s="121"/>
      <c r="AC78" s="97">
        <f t="shared" ref="AC78:AC79" si="377">T78</f>
        <v>134</v>
      </c>
      <c r="AD78" s="97">
        <f t="shared" ref="AD78:AD79" si="378">U78</f>
        <v>132</v>
      </c>
      <c r="AE78" s="97">
        <f t="shared" ref="AE78:AE79" si="379">V78</f>
        <v>132</v>
      </c>
      <c r="AF78" s="97">
        <f t="shared" ref="AF78:AF79" si="380">W78</f>
        <v>138</v>
      </c>
      <c r="AG78" s="97">
        <f t="shared" ref="AG78:AG79" si="381">X78</f>
        <v>155</v>
      </c>
      <c r="AH78" s="97">
        <f t="shared" ref="AH78:AH79" si="382">Y78</f>
        <v>158</v>
      </c>
      <c r="AI78" s="97">
        <f t="shared" ref="AI78:AI79" si="383">Z78</f>
        <v>226</v>
      </c>
      <c r="AJ78" s="97">
        <f t="shared" ref="AJ78:AJ79" si="384">AA78</f>
        <v>242</v>
      </c>
      <c r="AK78" s="42"/>
      <c r="AL78" s="75">
        <f t="shared" ref="AL78:AL79" si="385">SUM(AJ78/AF78)-1</f>
        <v>0.75362318840579712</v>
      </c>
    </row>
    <row r="79" spans="2:38" ht="12.75" customHeight="1">
      <c r="B79" s="120" t="s">
        <v>202</v>
      </c>
      <c r="C79" s="121">
        <v>2309</v>
      </c>
      <c r="D79" s="121">
        <v>2220</v>
      </c>
      <c r="E79" s="121">
        <v>2035</v>
      </c>
      <c r="F79" s="121">
        <v>1967</v>
      </c>
      <c r="G79" s="121">
        <v>1870</v>
      </c>
      <c r="H79" s="51"/>
      <c r="I79" s="82">
        <v>2370</v>
      </c>
      <c r="J79" s="82">
        <v>2190</v>
      </c>
      <c r="K79" s="82">
        <v>2296</v>
      </c>
      <c r="L79" s="32">
        <f t="shared" si="371"/>
        <v>2220</v>
      </c>
      <c r="M79" s="82">
        <v>2000</v>
      </c>
      <c r="N79" s="82">
        <v>1988</v>
      </c>
      <c r="O79" s="82">
        <v>1916</v>
      </c>
      <c r="P79" s="32">
        <f t="shared" si="372"/>
        <v>2035</v>
      </c>
      <c r="Q79" s="82">
        <v>1995</v>
      </c>
      <c r="R79" s="82">
        <v>1926</v>
      </c>
      <c r="S79" s="82">
        <v>1858</v>
      </c>
      <c r="T79" s="32">
        <f t="shared" si="373"/>
        <v>1967</v>
      </c>
      <c r="U79" s="82">
        <v>1919</v>
      </c>
      <c r="V79" s="82">
        <v>1800</v>
      </c>
      <c r="W79" s="82">
        <v>1841</v>
      </c>
      <c r="X79" s="32">
        <f t="shared" si="374"/>
        <v>1870</v>
      </c>
      <c r="Y79" s="82">
        <v>1946</v>
      </c>
      <c r="Z79" s="82">
        <v>2383</v>
      </c>
      <c r="AA79" s="82">
        <v>2390</v>
      </c>
      <c r="AB79" s="121"/>
      <c r="AC79" s="97">
        <f t="shared" si="377"/>
        <v>1967</v>
      </c>
      <c r="AD79" s="97">
        <f t="shared" si="378"/>
        <v>1919</v>
      </c>
      <c r="AE79" s="97">
        <f t="shared" si="379"/>
        <v>1800</v>
      </c>
      <c r="AF79" s="97">
        <f t="shared" si="380"/>
        <v>1841</v>
      </c>
      <c r="AG79" s="97">
        <f t="shared" si="381"/>
        <v>1870</v>
      </c>
      <c r="AH79" s="97">
        <f t="shared" si="382"/>
        <v>1946</v>
      </c>
      <c r="AI79" s="97">
        <f t="shared" si="383"/>
        <v>2383</v>
      </c>
      <c r="AJ79" s="97">
        <f t="shared" si="384"/>
        <v>2390</v>
      </c>
      <c r="AK79" s="42"/>
      <c r="AL79" s="75">
        <f t="shared" si="385"/>
        <v>0.29820749592612716</v>
      </c>
    </row>
    <row r="80" spans="2:38" ht="12.75" customHeight="1">
      <c r="B80" s="13" t="s">
        <v>15</v>
      </c>
      <c r="C80" s="14">
        <f>SUM(C77:C79)+C74</f>
        <v>15450</v>
      </c>
      <c r="D80" s="14">
        <f>SUM(D77:D79)+D74</f>
        <v>15607</v>
      </c>
      <c r="E80" s="14">
        <f>SUM(E77:E79)+E74</f>
        <v>14897</v>
      </c>
      <c r="F80" s="14">
        <f>SUM(F77:F79)+F74</f>
        <v>15606</v>
      </c>
      <c r="G80" s="14">
        <f>SUM(G77:G79)+G74</f>
        <v>17392</v>
      </c>
      <c r="I80" s="14">
        <f t="shared" ref="I80:AA80" si="386">SUM(I77:I79)+I74</f>
        <v>15181</v>
      </c>
      <c r="J80" s="14">
        <f t="shared" si="386"/>
        <v>15225</v>
      </c>
      <c r="K80" s="14">
        <f t="shared" si="386"/>
        <v>15416</v>
      </c>
      <c r="L80" s="14">
        <f t="shared" si="386"/>
        <v>15607</v>
      </c>
      <c r="M80" s="14">
        <f t="shared" si="386"/>
        <v>15602</v>
      </c>
      <c r="N80" s="14">
        <f t="shared" si="386"/>
        <v>14938</v>
      </c>
      <c r="O80" s="14">
        <f t="shared" si="386"/>
        <v>14307</v>
      </c>
      <c r="P80" s="14">
        <f t="shared" si="386"/>
        <v>14897</v>
      </c>
      <c r="Q80" s="14">
        <f t="shared" si="386"/>
        <v>14783</v>
      </c>
      <c r="R80" s="14">
        <f t="shared" si="386"/>
        <v>15117</v>
      </c>
      <c r="S80" s="14">
        <f t="shared" si="386"/>
        <v>14914</v>
      </c>
      <c r="T80" s="14">
        <f t="shared" si="386"/>
        <v>15606</v>
      </c>
      <c r="U80" s="14">
        <f t="shared" si="386"/>
        <v>16501</v>
      </c>
      <c r="V80" s="14">
        <f t="shared" si="386"/>
        <v>16499</v>
      </c>
      <c r="W80" s="14">
        <f t="shared" si="386"/>
        <v>17123</v>
      </c>
      <c r="X80" s="14">
        <f t="shared" si="386"/>
        <v>17392</v>
      </c>
      <c r="Y80" s="14">
        <f t="shared" si="386"/>
        <v>17694</v>
      </c>
      <c r="Z80" s="14">
        <f t="shared" si="386"/>
        <v>18907</v>
      </c>
      <c r="AA80" s="14">
        <f t="shared" si="386"/>
        <v>19077</v>
      </c>
      <c r="AC80" s="14">
        <f t="shared" ref="AC80:AJ80" si="387">SUM(AC77:AC79)+AC74</f>
        <v>15606</v>
      </c>
      <c r="AD80" s="14">
        <f t="shared" si="387"/>
        <v>16501</v>
      </c>
      <c r="AE80" s="14">
        <f t="shared" si="387"/>
        <v>16499</v>
      </c>
      <c r="AF80" s="14">
        <f t="shared" si="387"/>
        <v>17123</v>
      </c>
      <c r="AG80" s="14">
        <f t="shared" si="387"/>
        <v>17392</v>
      </c>
      <c r="AH80" s="14">
        <f t="shared" si="387"/>
        <v>17694</v>
      </c>
      <c r="AI80" s="14">
        <f t="shared" si="387"/>
        <v>18907</v>
      </c>
      <c r="AJ80" s="14">
        <f t="shared" si="387"/>
        <v>19077</v>
      </c>
      <c r="AK80" s="42"/>
      <c r="AL80" s="76">
        <f t="shared" si="376"/>
        <v>0.11411551714068802</v>
      </c>
    </row>
    <row r="81" spans="2:38" ht="5.0999999999999996" customHeight="1">
      <c r="B81" s="25"/>
      <c r="C81" s="49"/>
      <c r="D81" s="49"/>
      <c r="E81" s="49"/>
      <c r="F81" s="41"/>
      <c r="G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C81" s="42"/>
      <c r="AD81" s="42"/>
      <c r="AE81" s="42"/>
      <c r="AF81" s="42"/>
      <c r="AG81" s="42"/>
      <c r="AH81" s="42"/>
      <c r="AI81" s="42"/>
      <c r="AJ81" s="42"/>
      <c r="AK81" s="42"/>
      <c r="AL81" s="39"/>
    </row>
    <row r="82" spans="2:38" ht="12.75" customHeight="1">
      <c r="B82" s="9" t="s">
        <v>194</v>
      </c>
      <c r="C82" s="82">
        <v>0</v>
      </c>
      <c r="D82" s="82">
        <v>0</v>
      </c>
      <c r="E82" s="82">
        <v>0</v>
      </c>
      <c r="F82" s="82">
        <v>0</v>
      </c>
      <c r="G82" s="82">
        <v>0</v>
      </c>
      <c r="H82" s="32"/>
      <c r="I82" s="82">
        <v>0</v>
      </c>
      <c r="J82" s="82">
        <v>0</v>
      </c>
      <c r="K82" s="82">
        <v>0</v>
      </c>
      <c r="L82" s="32">
        <f t="shared" ref="L82:L87" si="388">D82</f>
        <v>0</v>
      </c>
      <c r="M82" s="82">
        <v>0</v>
      </c>
      <c r="N82" s="82">
        <v>0</v>
      </c>
      <c r="O82" s="82">
        <v>0</v>
      </c>
      <c r="P82" s="32">
        <f>E82</f>
        <v>0</v>
      </c>
      <c r="Q82" s="82">
        <v>0</v>
      </c>
      <c r="R82" s="82">
        <v>0</v>
      </c>
      <c r="S82" s="82">
        <v>0</v>
      </c>
      <c r="T82" s="32">
        <f t="shared" ref="T82:T87" si="389">F82</f>
        <v>0</v>
      </c>
      <c r="U82" s="82">
        <v>0</v>
      </c>
      <c r="V82" s="82">
        <v>0</v>
      </c>
      <c r="W82" s="82">
        <v>0</v>
      </c>
      <c r="X82" s="32">
        <f t="shared" ref="X82:X87" si="390">G82</f>
        <v>0</v>
      </c>
      <c r="Y82" s="82">
        <v>0</v>
      </c>
      <c r="Z82" s="82">
        <v>0</v>
      </c>
      <c r="AA82" s="82">
        <v>0</v>
      </c>
      <c r="AC82" s="32">
        <f t="shared" ref="AC82:AJ87" si="391">T82</f>
        <v>0</v>
      </c>
      <c r="AD82" s="32">
        <f t="shared" si="391"/>
        <v>0</v>
      </c>
      <c r="AE82" s="32">
        <f t="shared" si="391"/>
        <v>0</v>
      </c>
      <c r="AF82" s="32">
        <f t="shared" si="391"/>
        <v>0</v>
      </c>
      <c r="AG82" s="32">
        <f t="shared" si="391"/>
        <v>0</v>
      </c>
      <c r="AH82" s="32">
        <f t="shared" si="391"/>
        <v>0</v>
      </c>
      <c r="AI82" s="32">
        <f t="shared" si="391"/>
        <v>0</v>
      </c>
      <c r="AJ82" s="32">
        <f t="shared" si="391"/>
        <v>0</v>
      </c>
      <c r="AK82" s="11"/>
      <c r="AL82" s="75" t="e">
        <f t="shared" si="376"/>
        <v>#DIV/0!</v>
      </c>
    </row>
    <row r="83" spans="2:38" ht="12.75" customHeight="1">
      <c r="B83" s="9" t="s">
        <v>137</v>
      </c>
      <c r="C83" s="82">
        <v>17</v>
      </c>
      <c r="D83" s="82">
        <v>17</v>
      </c>
      <c r="E83" s="82">
        <v>17</v>
      </c>
      <c r="F83" s="82">
        <v>17</v>
      </c>
      <c r="G83" s="82">
        <v>17</v>
      </c>
      <c r="H83" s="32"/>
      <c r="I83" s="82">
        <v>17</v>
      </c>
      <c r="J83" s="82">
        <v>17</v>
      </c>
      <c r="K83" s="82">
        <v>17</v>
      </c>
      <c r="L83" s="32">
        <f t="shared" ref="L83" si="392">D83</f>
        <v>17</v>
      </c>
      <c r="M83" s="82">
        <v>17</v>
      </c>
      <c r="N83" s="82">
        <v>17</v>
      </c>
      <c r="O83" s="82">
        <v>17</v>
      </c>
      <c r="P83" s="32">
        <f>E83</f>
        <v>17</v>
      </c>
      <c r="Q83" s="82">
        <v>17</v>
      </c>
      <c r="R83" s="82">
        <v>17</v>
      </c>
      <c r="S83" s="82">
        <v>17</v>
      </c>
      <c r="T83" s="32">
        <f t="shared" ref="T83" si="393">F83</f>
        <v>17</v>
      </c>
      <c r="U83" s="82">
        <v>17</v>
      </c>
      <c r="V83" s="82">
        <v>17</v>
      </c>
      <c r="W83" s="82">
        <v>17</v>
      </c>
      <c r="X83" s="32">
        <f t="shared" ref="X83" si="394">G83</f>
        <v>17</v>
      </c>
      <c r="Y83" s="82">
        <v>17</v>
      </c>
      <c r="Z83" s="82">
        <v>17</v>
      </c>
      <c r="AA83" s="82">
        <v>17</v>
      </c>
      <c r="AC83" s="32">
        <f t="shared" ref="AC83" si="395">T83</f>
        <v>17</v>
      </c>
      <c r="AD83" s="32">
        <f t="shared" ref="AD83" si="396">U83</f>
        <v>17</v>
      </c>
      <c r="AE83" s="32">
        <f t="shared" ref="AE83" si="397">V83</f>
        <v>17</v>
      </c>
      <c r="AF83" s="32">
        <f t="shared" ref="AF83" si="398">W83</f>
        <v>17</v>
      </c>
      <c r="AG83" s="32">
        <f t="shared" ref="AG83" si="399">X83</f>
        <v>17</v>
      </c>
      <c r="AH83" s="32">
        <f t="shared" ref="AH83" si="400">Y83</f>
        <v>17</v>
      </c>
      <c r="AI83" s="32">
        <f t="shared" ref="AI83" si="401">Z83</f>
        <v>17</v>
      </c>
      <c r="AJ83" s="32">
        <f t="shared" ref="AJ83" si="402">AA83</f>
        <v>17</v>
      </c>
      <c r="AK83" s="11"/>
      <c r="AL83" s="75">
        <f t="shared" ref="AL83" si="403">SUM(AJ83/AF83)-1</f>
        <v>0</v>
      </c>
    </row>
    <row r="84" spans="2:38" ht="12.75" customHeight="1">
      <c r="B84" s="9" t="s">
        <v>195</v>
      </c>
      <c r="C84" s="82">
        <v>-2251</v>
      </c>
      <c r="D84" s="82">
        <v>-2251</v>
      </c>
      <c r="E84" s="82">
        <v>-2251</v>
      </c>
      <c r="F84" s="82">
        <v>-2251</v>
      </c>
      <c r="G84" s="82">
        <v>-2251</v>
      </c>
      <c r="H84" s="32"/>
      <c r="I84" s="82">
        <v>-2251</v>
      </c>
      <c r="J84" s="82">
        <v>-2251</v>
      </c>
      <c r="K84" s="82">
        <v>-2251</v>
      </c>
      <c r="L84" s="32">
        <f t="shared" ref="L84" si="404">D84</f>
        <v>-2251</v>
      </c>
      <c r="M84" s="82">
        <v>-2251</v>
      </c>
      <c r="N84" s="82">
        <v>-2251</v>
      </c>
      <c r="O84" s="82">
        <v>-2251</v>
      </c>
      <c r="P84" s="32">
        <f>E84</f>
        <v>-2251</v>
      </c>
      <c r="Q84" s="82">
        <v>-2251</v>
      </c>
      <c r="R84" s="82">
        <v>-2251</v>
      </c>
      <c r="S84" s="82">
        <v>-2251</v>
      </c>
      <c r="T84" s="32">
        <f t="shared" ref="T84" si="405">F84</f>
        <v>-2251</v>
      </c>
      <c r="U84" s="82">
        <v>-2251</v>
      </c>
      <c r="V84" s="82">
        <v>-2251</v>
      </c>
      <c r="W84" s="82">
        <v>-2251</v>
      </c>
      <c r="X84" s="32">
        <f t="shared" ref="X84" si="406">G84</f>
        <v>-2251</v>
      </c>
      <c r="Y84" s="82">
        <v>-2251</v>
      </c>
      <c r="Z84" s="82">
        <v>-2251</v>
      </c>
      <c r="AA84" s="82">
        <v>-2251</v>
      </c>
      <c r="AC84" s="32">
        <f t="shared" ref="AC84" si="407">T84</f>
        <v>-2251</v>
      </c>
      <c r="AD84" s="32">
        <f t="shared" ref="AD84" si="408">U84</f>
        <v>-2251</v>
      </c>
      <c r="AE84" s="32">
        <f t="shared" ref="AE84" si="409">V84</f>
        <v>-2251</v>
      </c>
      <c r="AF84" s="32">
        <f t="shared" ref="AF84" si="410">W84</f>
        <v>-2251</v>
      </c>
      <c r="AG84" s="32">
        <f t="shared" ref="AG84" si="411">X84</f>
        <v>-2251</v>
      </c>
      <c r="AH84" s="32">
        <f t="shared" ref="AH84" si="412">Y84</f>
        <v>-2251</v>
      </c>
      <c r="AI84" s="32">
        <f t="shared" ref="AI84" si="413">Z84</f>
        <v>-2251</v>
      </c>
      <c r="AJ84" s="32">
        <f t="shared" ref="AJ84" si="414">AA84</f>
        <v>-2251</v>
      </c>
      <c r="AK84" s="11"/>
      <c r="AL84" s="75">
        <f t="shared" ref="AL84" si="415">SUM(AJ84/AF84)-1</f>
        <v>0</v>
      </c>
    </row>
    <row r="85" spans="2:38" ht="12.75" customHeight="1">
      <c r="B85" s="9" t="s">
        <v>196</v>
      </c>
      <c r="C85" s="82">
        <v>19732</v>
      </c>
      <c r="D85" s="82">
        <v>19986</v>
      </c>
      <c r="E85" s="82">
        <v>20289</v>
      </c>
      <c r="F85" s="82">
        <v>20647</v>
      </c>
      <c r="G85" s="82">
        <v>21056</v>
      </c>
      <c r="H85" s="32"/>
      <c r="I85" s="82">
        <v>19750</v>
      </c>
      <c r="J85" s="82">
        <v>19817</v>
      </c>
      <c r="K85" s="82">
        <v>19930</v>
      </c>
      <c r="L85" s="32">
        <f t="shared" si="388"/>
        <v>19986</v>
      </c>
      <c r="M85" s="82">
        <v>20043</v>
      </c>
      <c r="N85" s="82">
        <v>20103</v>
      </c>
      <c r="O85" s="82">
        <v>20219</v>
      </c>
      <c r="P85" s="32">
        <f t="shared" ref="P85:P87" si="416">E85</f>
        <v>20289</v>
      </c>
      <c r="Q85" s="82">
        <v>20356</v>
      </c>
      <c r="R85" s="82">
        <v>20441</v>
      </c>
      <c r="S85" s="82">
        <v>20573</v>
      </c>
      <c r="T85" s="32">
        <f t="shared" si="389"/>
        <v>20647</v>
      </c>
      <c r="U85" s="82">
        <v>20713</v>
      </c>
      <c r="V85" s="82">
        <v>20803</v>
      </c>
      <c r="W85" s="82">
        <v>20963</v>
      </c>
      <c r="X85" s="32">
        <f t="shared" si="390"/>
        <v>21056</v>
      </c>
      <c r="Y85" s="82">
        <v>21127</v>
      </c>
      <c r="Z85" s="82">
        <v>21230</v>
      </c>
      <c r="AA85" s="82">
        <v>21419</v>
      </c>
      <c r="AC85" s="32">
        <f t="shared" si="391"/>
        <v>20647</v>
      </c>
      <c r="AD85" s="32">
        <f t="shared" si="391"/>
        <v>20713</v>
      </c>
      <c r="AE85" s="32">
        <f t="shared" si="391"/>
        <v>20803</v>
      </c>
      <c r="AF85" s="32">
        <f t="shared" si="391"/>
        <v>20963</v>
      </c>
      <c r="AG85" s="32">
        <f t="shared" si="391"/>
        <v>21056</v>
      </c>
      <c r="AH85" s="32">
        <f t="shared" si="391"/>
        <v>21127</v>
      </c>
      <c r="AI85" s="32">
        <f t="shared" si="391"/>
        <v>21230</v>
      </c>
      <c r="AJ85" s="32">
        <f t="shared" si="391"/>
        <v>21419</v>
      </c>
      <c r="AK85" s="11"/>
      <c r="AL85" s="75"/>
    </row>
    <row r="86" spans="2:38" ht="12.75" customHeight="1">
      <c r="B86" s="9" t="s">
        <v>197</v>
      </c>
      <c r="C86" s="82">
        <v>-2378</v>
      </c>
      <c r="D86" s="82">
        <v>-1392</v>
      </c>
      <c r="E86" s="82">
        <v>-750</v>
      </c>
      <c r="F86" s="82">
        <v>819</v>
      </c>
      <c r="G86" s="82">
        <v>2673</v>
      </c>
      <c r="H86" s="32"/>
      <c r="I86" s="82">
        <v>-2050</v>
      </c>
      <c r="J86" s="82">
        <v>-1878</v>
      </c>
      <c r="K86" s="82">
        <v>-1473</v>
      </c>
      <c r="L86" s="32">
        <f t="shared" si="388"/>
        <v>-1392</v>
      </c>
      <c r="M86" s="82">
        <v>-1296</v>
      </c>
      <c r="N86" s="82">
        <v>-1050</v>
      </c>
      <c r="O86" s="82">
        <v>-876</v>
      </c>
      <c r="P86" s="32">
        <f t="shared" si="416"/>
        <v>-750</v>
      </c>
      <c r="Q86" s="82">
        <v>-450</v>
      </c>
      <c r="R86" s="82">
        <v>-189</v>
      </c>
      <c r="S86" s="82">
        <v>315</v>
      </c>
      <c r="T86" s="32">
        <f t="shared" si="389"/>
        <v>819</v>
      </c>
      <c r="U86" s="82">
        <v>1314</v>
      </c>
      <c r="V86" s="82">
        <v>1639</v>
      </c>
      <c r="W86" s="82">
        <v>2107</v>
      </c>
      <c r="X86" s="32">
        <f t="shared" si="390"/>
        <v>2673</v>
      </c>
      <c r="Y86" s="82">
        <v>3347</v>
      </c>
      <c r="Z86" s="82">
        <v>4144</v>
      </c>
      <c r="AA86" s="82">
        <v>4899</v>
      </c>
      <c r="AC86" s="32">
        <f t="shared" si="391"/>
        <v>819</v>
      </c>
      <c r="AD86" s="32">
        <f t="shared" si="391"/>
        <v>1314</v>
      </c>
      <c r="AE86" s="32">
        <f t="shared" si="391"/>
        <v>1639</v>
      </c>
      <c r="AF86" s="32">
        <f t="shared" si="391"/>
        <v>2107</v>
      </c>
      <c r="AG86" s="32">
        <f t="shared" si="391"/>
        <v>2673</v>
      </c>
      <c r="AH86" s="32">
        <f t="shared" si="391"/>
        <v>3347</v>
      </c>
      <c r="AI86" s="32">
        <f t="shared" si="391"/>
        <v>4144</v>
      </c>
      <c r="AJ86" s="32">
        <f t="shared" si="391"/>
        <v>4899</v>
      </c>
      <c r="AK86" s="11"/>
      <c r="AL86" s="75"/>
    </row>
    <row r="87" spans="2:38" ht="12.75" customHeight="1">
      <c r="B87" s="9" t="s">
        <v>198</v>
      </c>
      <c r="C87" s="82">
        <f>218+36-47</f>
        <v>207</v>
      </c>
      <c r="D87" s="82">
        <v>263</v>
      </c>
      <c r="E87" s="82">
        <v>269</v>
      </c>
      <c r="F87" s="82">
        <v>49</v>
      </c>
      <c r="G87" s="82">
        <v>275</v>
      </c>
      <c r="H87" s="32"/>
      <c r="I87" s="82">
        <v>254</v>
      </c>
      <c r="J87" s="82">
        <v>237</v>
      </c>
      <c r="K87" s="82">
        <v>238</v>
      </c>
      <c r="L87" s="32">
        <f t="shared" si="388"/>
        <v>263</v>
      </c>
      <c r="M87" s="82">
        <v>222</v>
      </c>
      <c r="N87" s="82">
        <v>433</v>
      </c>
      <c r="O87" s="82">
        <v>532</v>
      </c>
      <c r="P87" s="32">
        <f t="shared" si="416"/>
        <v>269</v>
      </c>
      <c r="Q87" s="82">
        <v>178</v>
      </c>
      <c r="R87" s="82">
        <v>208</v>
      </c>
      <c r="S87" s="82">
        <v>231</v>
      </c>
      <c r="T87" s="32">
        <f t="shared" si="389"/>
        <v>49</v>
      </c>
      <c r="U87" s="82">
        <v>132</v>
      </c>
      <c r="V87" s="82">
        <v>164</v>
      </c>
      <c r="W87" s="82">
        <v>-128</v>
      </c>
      <c r="X87" s="32">
        <f t="shared" si="390"/>
        <v>275</v>
      </c>
      <c r="Y87" s="82">
        <v>-28</v>
      </c>
      <c r="Z87" s="82">
        <v>-722</v>
      </c>
      <c r="AA87" s="82">
        <v>-689</v>
      </c>
      <c r="AC87" s="32">
        <f t="shared" si="391"/>
        <v>49</v>
      </c>
      <c r="AD87" s="32">
        <f t="shared" si="391"/>
        <v>132</v>
      </c>
      <c r="AE87" s="32">
        <f t="shared" si="391"/>
        <v>164</v>
      </c>
      <c r="AF87" s="32">
        <f t="shared" si="391"/>
        <v>-128</v>
      </c>
      <c r="AG87" s="32">
        <f t="shared" si="391"/>
        <v>275</v>
      </c>
      <c r="AH87" s="32">
        <f t="shared" si="391"/>
        <v>-28</v>
      </c>
      <c r="AI87" s="32">
        <f t="shared" si="391"/>
        <v>-722</v>
      </c>
      <c r="AJ87" s="32">
        <f t="shared" si="391"/>
        <v>-689</v>
      </c>
      <c r="AK87" s="11"/>
      <c r="AL87" s="75">
        <f t="shared" si="376"/>
        <v>4.3828125</v>
      </c>
    </row>
    <row r="88" spans="2:38" ht="12.75" customHeight="1">
      <c r="B88" s="13" t="s">
        <v>14</v>
      </c>
      <c r="C88" s="14">
        <f t="shared" ref="C88:D88" si="417">SUM(C82:C87)</f>
        <v>15327</v>
      </c>
      <c r="D88" s="14">
        <f t="shared" si="417"/>
        <v>16623</v>
      </c>
      <c r="E88" s="14">
        <f t="shared" ref="E88:G88" si="418">SUM(E82:E87)</f>
        <v>17574</v>
      </c>
      <c r="F88" s="14">
        <f t="shared" si="418"/>
        <v>19281</v>
      </c>
      <c r="G88" s="14">
        <f t="shared" si="418"/>
        <v>21770</v>
      </c>
      <c r="H88" s="52"/>
      <c r="I88" s="14">
        <f t="shared" ref="I88:O88" si="419">SUM(I82:I87)</f>
        <v>15720</v>
      </c>
      <c r="J88" s="14">
        <f t="shared" ref="J88:L88" si="420">SUM(J82:J87)</f>
        <v>15942</v>
      </c>
      <c r="K88" s="14">
        <f t="shared" si="420"/>
        <v>16461</v>
      </c>
      <c r="L88" s="14">
        <f t="shared" si="420"/>
        <v>16623</v>
      </c>
      <c r="M88" s="14">
        <f t="shared" si="419"/>
        <v>16735</v>
      </c>
      <c r="N88" s="14">
        <f t="shared" si="419"/>
        <v>17252</v>
      </c>
      <c r="O88" s="14">
        <f t="shared" si="419"/>
        <v>17641</v>
      </c>
      <c r="P88" s="14">
        <f t="shared" ref="P88" si="421">SUM(P82:P87)</f>
        <v>17574</v>
      </c>
      <c r="Q88" s="14">
        <f t="shared" ref="Q88:AA88" si="422">SUM(Q82:Q87)</f>
        <v>17850</v>
      </c>
      <c r="R88" s="14">
        <f t="shared" si="422"/>
        <v>18226</v>
      </c>
      <c r="S88" s="14">
        <f t="shared" si="422"/>
        <v>18885</v>
      </c>
      <c r="T88" s="14">
        <f t="shared" si="422"/>
        <v>19281</v>
      </c>
      <c r="U88" s="14">
        <f t="shared" si="422"/>
        <v>19925</v>
      </c>
      <c r="V88" s="14">
        <f t="shared" si="422"/>
        <v>20372</v>
      </c>
      <c r="W88" s="14">
        <f t="shared" si="422"/>
        <v>20708</v>
      </c>
      <c r="X88" s="14">
        <f t="shared" si="422"/>
        <v>21770</v>
      </c>
      <c r="Y88" s="14">
        <f t="shared" si="422"/>
        <v>22212</v>
      </c>
      <c r="Z88" s="14">
        <f t="shared" si="422"/>
        <v>22418</v>
      </c>
      <c r="AA88" s="14">
        <f t="shared" si="422"/>
        <v>23395</v>
      </c>
      <c r="AC88" s="14">
        <f t="shared" ref="AC88:AJ88" si="423">SUM(AC82:AC87)</f>
        <v>19281</v>
      </c>
      <c r="AD88" s="14">
        <f t="shared" si="423"/>
        <v>19925</v>
      </c>
      <c r="AE88" s="14">
        <f t="shared" si="423"/>
        <v>20372</v>
      </c>
      <c r="AF88" s="14">
        <f t="shared" si="423"/>
        <v>20708</v>
      </c>
      <c r="AG88" s="14">
        <f t="shared" si="423"/>
        <v>21770</v>
      </c>
      <c r="AH88" s="14">
        <f t="shared" si="423"/>
        <v>22212</v>
      </c>
      <c r="AI88" s="14">
        <f t="shared" si="423"/>
        <v>22418</v>
      </c>
      <c r="AJ88" s="14">
        <f t="shared" si="423"/>
        <v>23395</v>
      </c>
      <c r="AK88" s="42"/>
      <c r="AL88" s="75">
        <f t="shared" si="376"/>
        <v>0.12975661580065667</v>
      </c>
    </row>
    <row r="89" spans="2:38" s="172" customFormat="1" ht="5.0999999999999996" customHeight="1">
      <c r="B89" s="173"/>
      <c r="C89" s="174"/>
      <c r="D89" s="174"/>
      <c r="E89" s="174"/>
      <c r="F89" s="174"/>
      <c r="G89" s="174"/>
      <c r="H89" s="175"/>
      <c r="I89" s="174"/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C89" s="174"/>
      <c r="AD89" s="174"/>
      <c r="AE89" s="174"/>
      <c r="AF89" s="174"/>
      <c r="AG89" s="174"/>
      <c r="AH89" s="174"/>
      <c r="AI89" s="174"/>
      <c r="AJ89" s="174"/>
      <c r="AK89" s="176"/>
      <c r="AL89" s="100"/>
    </row>
    <row r="90" spans="2:38" ht="12.75" customHeight="1">
      <c r="B90" s="9" t="s">
        <v>205</v>
      </c>
      <c r="C90" s="82">
        <v>0</v>
      </c>
      <c r="D90" s="82">
        <v>0</v>
      </c>
      <c r="E90" s="82">
        <v>0</v>
      </c>
      <c r="F90" s="82">
        <v>248</v>
      </c>
      <c r="G90" s="82">
        <v>233</v>
      </c>
      <c r="H90" s="32"/>
      <c r="I90" s="82">
        <v>0</v>
      </c>
      <c r="J90" s="82">
        <v>0</v>
      </c>
      <c r="K90" s="82">
        <v>0</v>
      </c>
      <c r="L90" s="32">
        <f t="shared" ref="L90:L91" si="424">D90</f>
        <v>0</v>
      </c>
      <c r="M90" s="82">
        <v>0</v>
      </c>
      <c r="N90" s="82">
        <v>0</v>
      </c>
      <c r="O90" s="82">
        <v>0</v>
      </c>
      <c r="P90" s="32">
        <f t="shared" ref="P90:P91" si="425">E90</f>
        <v>0</v>
      </c>
      <c r="Q90" s="82">
        <v>259</v>
      </c>
      <c r="R90" s="82">
        <v>259</v>
      </c>
      <c r="S90" s="82">
        <v>243</v>
      </c>
      <c r="T90" s="32">
        <f t="shared" ref="T90:T91" si="426">F90</f>
        <v>248</v>
      </c>
      <c r="U90" s="82">
        <v>242</v>
      </c>
      <c r="V90" s="82">
        <v>238</v>
      </c>
      <c r="W90" s="82">
        <v>248</v>
      </c>
      <c r="X90" s="32">
        <f t="shared" ref="X90:X91" si="427">G90</f>
        <v>233</v>
      </c>
      <c r="Y90" s="82">
        <v>233</v>
      </c>
      <c r="Z90" s="82">
        <v>233</v>
      </c>
      <c r="AA90" s="82">
        <v>236</v>
      </c>
      <c r="AC90" s="32">
        <f t="shared" ref="AC90:AC91" si="428">T90</f>
        <v>248</v>
      </c>
      <c r="AD90" s="32">
        <f t="shared" ref="AD90:AD91" si="429">U90</f>
        <v>242</v>
      </c>
      <c r="AE90" s="32">
        <f t="shared" ref="AE90:AE91" si="430">V90</f>
        <v>238</v>
      </c>
      <c r="AF90" s="32">
        <f t="shared" ref="AF90:AF91" si="431">W90</f>
        <v>248</v>
      </c>
      <c r="AG90" s="32">
        <f t="shared" ref="AG90:AG91" si="432">X90</f>
        <v>233</v>
      </c>
      <c r="AH90" s="32">
        <f t="shared" ref="AH90:AH91" si="433">Y90</f>
        <v>233</v>
      </c>
      <c r="AI90" s="32">
        <f t="shared" ref="AI90:AI91" si="434">Z90</f>
        <v>233</v>
      </c>
      <c r="AJ90" s="32">
        <f t="shared" ref="AJ90:AJ91" si="435">AA90</f>
        <v>236</v>
      </c>
      <c r="AK90" s="11"/>
      <c r="AL90" s="75">
        <f t="shared" ref="AL90:AL91" si="436">SUM(AJ90/AF90)-1</f>
        <v>-4.8387096774193505E-2</v>
      </c>
    </row>
    <row r="91" spans="2:38" ht="12.75" customHeight="1">
      <c r="B91" s="13" t="s">
        <v>199</v>
      </c>
      <c r="C91" s="14">
        <f>SUM(C88:C90)</f>
        <v>15327</v>
      </c>
      <c r="D91" s="14">
        <f t="shared" ref="D91:G91" si="437">SUM(D88:D90)</f>
        <v>16623</v>
      </c>
      <c r="E91" s="14">
        <f t="shared" si="437"/>
        <v>17574</v>
      </c>
      <c r="F91" s="14">
        <f t="shared" si="437"/>
        <v>19529</v>
      </c>
      <c r="G91" s="14">
        <f t="shared" si="437"/>
        <v>22003</v>
      </c>
      <c r="H91" s="52"/>
      <c r="I91" s="14">
        <f t="shared" ref="I91" si="438">SUM(I88:I90)</f>
        <v>15720</v>
      </c>
      <c r="J91" s="14">
        <f t="shared" ref="J91" si="439">SUM(J88:J90)</f>
        <v>15942</v>
      </c>
      <c r="K91" s="14">
        <f t="shared" ref="K91" si="440">SUM(K88:K90)</f>
        <v>16461</v>
      </c>
      <c r="L91" s="14">
        <f t="shared" ref="L91" si="441">SUM(L88:L90)</f>
        <v>16623</v>
      </c>
      <c r="M91" s="14">
        <f t="shared" ref="M91" si="442">SUM(M88:M90)</f>
        <v>16735</v>
      </c>
      <c r="N91" s="14">
        <f t="shared" ref="N91" si="443">SUM(N88:N90)</f>
        <v>17252</v>
      </c>
      <c r="O91" s="14">
        <f t="shared" ref="O91" si="444">SUM(O88:O90)</f>
        <v>17641</v>
      </c>
      <c r="P91" s="14">
        <f t="shared" ref="P91" si="445">SUM(P88:P90)</f>
        <v>17574</v>
      </c>
      <c r="Q91" s="14">
        <f t="shared" ref="Q91" si="446">SUM(Q88:Q90)</f>
        <v>18109</v>
      </c>
      <c r="R91" s="14">
        <f t="shared" ref="R91" si="447">SUM(R88:R90)</f>
        <v>18485</v>
      </c>
      <c r="S91" s="14">
        <f t="shared" ref="S91" si="448">SUM(S88:S90)</f>
        <v>19128</v>
      </c>
      <c r="T91" s="14">
        <f t="shared" ref="T91" si="449">SUM(T88:T90)</f>
        <v>19529</v>
      </c>
      <c r="U91" s="14">
        <f t="shared" ref="U91" si="450">SUM(U88:U90)</f>
        <v>20167</v>
      </c>
      <c r="V91" s="14">
        <f t="shared" ref="V91" si="451">SUM(V88:V90)</f>
        <v>20610</v>
      </c>
      <c r="W91" s="14">
        <f t="shared" ref="W91" si="452">SUM(W88:W90)</f>
        <v>20956</v>
      </c>
      <c r="X91" s="14">
        <f t="shared" ref="X91" si="453">SUM(X88:X90)</f>
        <v>22003</v>
      </c>
      <c r="Y91" s="14">
        <f t="shared" ref="Y91" si="454">SUM(Y88:Y90)</f>
        <v>22445</v>
      </c>
      <c r="Z91" s="14">
        <f t="shared" ref="Z91" si="455">SUM(Z88:Z90)</f>
        <v>22651</v>
      </c>
      <c r="AA91" s="14">
        <f t="shared" ref="AA91" si="456">SUM(AA88:AA90)</f>
        <v>23631</v>
      </c>
      <c r="AC91" s="14">
        <f t="shared" ref="AC91" si="457">SUM(AC88:AC90)</f>
        <v>19529</v>
      </c>
      <c r="AD91" s="14">
        <f t="shared" ref="AD91" si="458">SUM(AD88:AD90)</f>
        <v>20167</v>
      </c>
      <c r="AE91" s="14">
        <f t="shared" ref="AE91" si="459">SUM(AE88:AE90)</f>
        <v>20610</v>
      </c>
      <c r="AF91" s="14">
        <f t="shared" ref="AF91" si="460">SUM(AF88:AF90)</f>
        <v>20956</v>
      </c>
      <c r="AG91" s="14">
        <f t="shared" ref="AG91" si="461">SUM(AG88:AG90)</f>
        <v>22003</v>
      </c>
      <c r="AH91" s="14">
        <f t="shared" ref="AH91" si="462">SUM(AH88:AH90)</f>
        <v>22445</v>
      </c>
      <c r="AI91" s="14">
        <f t="shared" ref="AI91" si="463">SUM(AI88:AI90)</f>
        <v>22651</v>
      </c>
      <c r="AJ91" s="14">
        <f t="shared" ref="AJ91" si="464">SUM(AJ88:AJ90)</f>
        <v>23631</v>
      </c>
      <c r="AK91" s="42"/>
      <c r="AL91" s="75">
        <f t="shared" si="436"/>
        <v>0.12764840618438633</v>
      </c>
    </row>
    <row r="92" spans="2:38" ht="12.75" customHeight="1">
      <c r="B92" s="25" t="s">
        <v>49</v>
      </c>
      <c r="C92" s="32">
        <f>SUM(C91+C80)</f>
        <v>30777</v>
      </c>
      <c r="D92" s="32">
        <f t="shared" ref="D92:G92" si="465">SUM(D91+D80)</f>
        <v>32230</v>
      </c>
      <c r="E92" s="32">
        <f t="shared" si="465"/>
        <v>32471</v>
      </c>
      <c r="F92" s="32">
        <f t="shared" si="465"/>
        <v>35135</v>
      </c>
      <c r="G92" s="32">
        <f t="shared" si="465"/>
        <v>39395</v>
      </c>
      <c r="H92" s="32"/>
      <c r="I92" s="32">
        <f t="shared" ref="I92" si="466">SUM(I91+I80)</f>
        <v>30901</v>
      </c>
      <c r="J92" s="32">
        <f t="shared" ref="J92" si="467">SUM(J91+J80)</f>
        <v>31167</v>
      </c>
      <c r="K92" s="32">
        <f t="shared" ref="K92" si="468">SUM(K91+K80)</f>
        <v>31877</v>
      </c>
      <c r="L92" s="32">
        <f t="shared" ref="L92" si="469">SUM(L91+L80)</f>
        <v>32230</v>
      </c>
      <c r="M92" s="32">
        <f t="shared" ref="M92" si="470">SUM(M91+M80)</f>
        <v>32337</v>
      </c>
      <c r="N92" s="32">
        <f t="shared" ref="N92" si="471">SUM(N91+N80)</f>
        <v>32190</v>
      </c>
      <c r="O92" s="32">
        <f t="shared" ref="O92" si="472">SUM(O91+O80)</f>
        <v>31948</v>
      </c>
      <c r="P92" s="32">
        <f t="shared" ref="P92" si="473">SUM(P91+P80)</f>
        <v>32471</v>
      </c>
      <c r="Q92" s="32">
        <f t="shared" ref="Q92" si="474">SUM(Q91+Q80)</f>
        <v>32892</v>
      </c>
      <c r="R92" s="32">
        <f t="shared" ref="R92" si="475">SUM(R91+R80)</f>
        <v>33602</v>
      </c>
      <c r="S92" s="32">
        <f t="shared" ref="S92" si="476">SUM(S91+S80)</f>
        <v>34042</v>
      </c>
      <c r="T92" s="32">
        <f t="shared" ref="T92" si="477">SUM(T91+T80)</f>
        <v>35135</v>
      </c>
      <c r="U92" s="32">
        <f t="shared" ref="U92" si="478">SUM(U91+U80)</f>
        <v>36668</v>
      </c>
      <c r="V92" s="32">
        <f t="shared" ref="V92" si="479">SUM(V91+V80)</f>
        <v>37109</v>
      </c>
      <c r="W92" s="32">
        <f t="shared" ref="W92" si="480">SUM(W91+W80)</f>
        <v>38079</v>
      </c>
      <c r="X92" s="32">
        <f t="shared" ref="X92" si="481">SUM(X91+X80)</f>
        <v>39395</v>
      </c>
      <c r="Y92" s="32">
        <f t="shared" ref="Y92" si="482">SUM(Y91+Y80)</f>
        <v>40139</v>
      </c>
      <c r="Z92" s="32">
        <f t="shared" ref="Z92" si="483">SUM(Z91+Z80)</f>
        <v>41558</v>
      </c>
      <c r="AA92" s="32">
        <f t="shared" ref="AA92" si="484">SUM(AA91+AA80)</f>
        <v>42708</v>
      </c>
      <c r="AB92" s="32"/>
      <c r="AC92" s="32">
        <f t="shared" ref="AC92" si="485">SUM(AC91+AC80)</f>
        <v>35135</v>
      </c>
      <c r="AD92" s="32">
        <f t="shared" ref="AD92" si="486">SUM(AD91+AD80)</f>
        <v>36668</v>
      </c>
      <c r="AE92" s="32">
        <f t="shared" ref="AE92" si="487">SUM(AE91+AE80)</f>
        <v>37109</v>
      </c>
      <c r="AF92" s="32">
        <f t="shared" ref="AF92" si="488">SUM(AF91+AF80)</f>
        <v>38079</v>
      </c>
      <c r="AG92" s="32">
        <f t="shared" ref="AG92" si="489">SUM(AG91+AG80)</f>
        <v>39395</v>
      </c>
      <c r="AH92" s="32">
        <f t="shared" ref="AH92" si="490">SUM(AH91+AH80)</f>
        <v>40139</v>
      </c>
      <c r="AI92" s="32">
        <f t="shared" ref="AI92" si="491">SUM(AI91+AI80)</f>
        <v>41558</v>
      </c>
      <c r="AJ92" s="32">
        <f t="shared" ref="AJ92" si="492">SUM(AJ91+AJ80)</f>
        <v>42708</v>
      </c>
      <c r="AK92" s="11"/>
      <c r="AL92" s="76">
        <f t="shared" si="376"/>
        <v>0.12156306625699198</v>
      </c>
    </row>
    <row r="93" spans="2:38" ht="5.0999999999999996" customHeight="1">
      <c r="B93" s="25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11"/>
    </row>
    <row r="94" spans="2:38" ht="12.75" customHeight="1">
      <c r="B94" s="139" t="s">
        <v>58</v>
      </c>
      <c r="C94" s="69">
        <f>ROUND(C92-C67,-1)</f>
        <v>0</v>
      </c>
      <c r="D94" s="69">
        <f t="shared" ref="D94:AJ94" si="493">ROUND(D92-D67,-1)</f>
        <v>0</v>
      </c>
      <c r="E94" s="69">
        <f t="shared" si="493"/>
        <v>0</v>
      </c>
      <c r="F94" s="69">
        <f t="shared" si="493"/>
        <v>0</v>
      </c>
      <c r="G94" s="69">
        <f t="shared" si="493"/>
        <v>0</v>
      </c>
      <c r="H94" s="70"/>
      <c r="I94" s="69">
        <f>ROUND(I92-I67,-1)</f>
        <v>0</v>
      </c>
      <c r="J94" s="69">
        <f t="shared" si="493"/>
        <v>0</v>
      </c>
      <c r="K94" s="69">
        <f t="shared" si="493"/>
        <v>0</v>
      </c>
      <c r="L94" s="69">
        <f t="shared" si="493"/>
        <v>0</v>
      </c>
      <c r="M94" s="69">
        <f t="shared" si="493"/>
        <v>0</v>
      </c>
      <c r="N94" s="69">
        <f t="shared" si="493"/>
        <v>0</v>
      </c>
      <c r="O94" s="69">
        <f t="shared" si="493"/>
        <v>0</v>
      </c>
      <c r="P94" s="69">
        <f t="shared" si="493"/>
        <v>0</v>
      </c>
      <c r="Q94" s="69">
        <f t="shared" si="493"/>
        <v>0</v>
      </c>
      <c r="R94" s="69">
        <f t="shared" si="493"/>
        <v>0</v>
      </c>
      <c r="S94" s="69">
        <f t="shared" si="493"/>
        <v>0</v>
      </c>
      <c r="T94" s="69">
        <f t="shared" si="493"/>
        <v>0</v>
      </c>
      <c r="U94" s="69">
        <f t="shared" si="493"/>
        <v>0</v>
      </c>
      <c r="V94" s="69">
        <f t="shared" si="493"/>
        <v>0</v>
      </c>
      <c r="W94" s="69">
        <f t="shared" si="493"/>
        <v>0</v>
      </c>
      <c r="X94" s="69">
        <f t="shared" si="493"/>
        <v>0</v>
      </c>
      <c r="Y94" s="69">
        <f t="shared" si="493"/>
        <v>0</v>
      </c>
      <c r="Z94" s="69">
        <f t="shared" si="493"/>
        <v>0</v>
      </c>
      <c r="AA94" s="69">
        <f t="shared" si="493"/>
        <v>0</v>
      </c>
      <c r="AB94" s="28"/>
      <c r="AC94" s="69">
        <f t="shared" si="493"/>
        <v>0</v>
      </c>
      <c r="AD94" s="69">
        <f t="shared" si="493"/>
        <v>0</v>
      </c>
      <c r="AE94" s="69">
        <f t="shared" si="493"/>
        <v>0</v>
      </c>
      <c r="AF94" s="69">
        <f t="shared" si="493"/>
        <v>0</v>
      </c>
      <c r="AG94" s="69">
        <f t="shared" si="493"/>
        <v>0</v>
      </c>
      <c r="AH94" s="69">
        <f t="shared" si="493"/>
        <v>0</v>
      </c>
      <c r="AI94" s="69">
        <f t="shared" si="493"/>
        <v>0</v>
      </c>
      <c r="AJ94" s="69">
        <f t="shared" si="493"/>
        <v>0</v>
      </c>
    </row>
    <row r="95" spans="2:38" ht="5.0999999999999996" customHeight="1" thickBot="1">
      <c r="B95" s="116"/>
      <c r="C95" s="117"/>
      <c r="D95" s="117"/>
      <c r="E95" s="117"/>
      <c r="F95" s="117"/>
      <c r="G95" s="117"/>
      <c r="H95" s="118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  <c r="AA95" s="117"/>
      <c r="AB95" s="119"/>
      <c r="AC95" s="117"/>
      <c r="AD95" s="117"/>
      <c r="AE95" s="117"/>
      <c r="AF95" s="117"/>
      <c r="AG95" s="117"/>
      <c r="AH95" s="117"/>
      <c r="AI95" s="117"/>
      <c r="AJ95" s="117"/>
      <c r="AK95" s="73"/>
      <c r="AL95" s="73"/>
    </row>
    <row r="96" spans="2:38">
      <c r="B96" s="68"/>
      <c r="C96" s="24"/>
      <c r="D96" s="24"/>
      <c r="E96" s="24"/>
      <c r="F96" s="24"/>
      <c r="G96" s="24"/>
      <c r="H96" s="53"/>
    </row>
    <row r="97" spans="1:38" ht="12.75" customHeight="1">
      <c r="A97" s="5" t="s">
        <v>16</v>
      </c>
      <c r="B97" s="98" t="s">
        <v>13</v>
      </c>
      <c r="C97" s="102"/>
      <c r="D97" s="102"/>
      <c r="E97" s="102"/>
      <c r="F97" s="102"/>
      <c r="G97" s="102"/>
      <c r="H97" s="103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98"/>
      <c r="AC97" s="102"/>
      <c r="AD97" s="102"/>
      <c r="AE97" s="102" t="s">
        <v>10</v>
      </c>
      <c r="AF97" s="102"/>
      <c r="AG97" s="102"/>
      <c r="AH97" s="102"/>
      <c r="AI97" s="102"/>
      <c r="AJ97" s="102"/>
      <c r="AK97" s="103"/>
      <c r="AL97" s="170" t="s">
        <v>22</v>
      </c>
    </row>
    <row r="98" spans="1:38" ht="12.75" customHeight="1">
      <c r="B98" s="99" t="str">
        <f>B7</f>
        <v>Fiscal Period</v>
      </c>
      <c r="C98" s="104">
        <f>C7</f>
        <v>2020</v>
      </c>
      <c r="D98" s="104">
        <f>D7</f>
        <v>2021</v>
      </c>
      <c r="E98" s="104">
        <f>E7</f>
        <v>2022</v>
      </c>
      <c r="F98" s="104">
        <f>F7</f>
        <v>2023</v>
      </c>
      <c r="G98" s="104">
        <f>G7</f>
        <v>2024</v>
      </c>
      <c r="H98" s="103"/>
      <c r="I98" s="104" t="str">
        <f t="shared" ref="I98:AA98" si="494">I7</f>
        <v>1Q21</v>
      </c>
      <c r="J98" s="104" t="str">
        <f t="shared" si="494"/>
        <v>2Q21</v>
      </c>
      <c r="K98" s="104" t="str">
        <f t="shared" si="494"/>
        <v>3Q21</v>
      </c>
      <c r="L98" s="104" t="str">
        <f t="shared" si="494"/>
        <v>4Q21</v>
      </c>
      <c r="M98" s="104" t="str">
        <f t="shared" si="494"/>
        <v>1Q22</v>
      </c>
      <c r="N98" s="104" t="str">
        <f t="shared" si="494"/>
        <v>2Q22</v>
      </c>
      <c r="O98" s="104" t="str">
        <f t="shared" si="494"/>
        <v>3Q22</v>
      </c>
      <c r="P98" s="104" t="str">
        <f t="shared" si="494"/>
        <v>4Q22</v>
      </c>
      <c r="Q98" s="104" t="str">
        <f t="shared" si="494"/>
        <v>1Q23</v>
      </c>
      <c r="R98" s="104" t="str">
        <f t="shared" si="494"/>
        <v>2Q23</v>
      </c>
      <c r="S98" s="104" t="str">
        <f t="shared" si="494"/>
        <v>3Q23</v>
      </c>
      <c r="T98" s="104" t="str">
        <f t="shared" si="494"/>
        <v>4Q23</v>
      </c>
      <c r="U98" s="104" t="str">
        <f t="shared" si="494"/>
        <v>1Q24</v>
      </c>
      <c r="V98" s="104" t="str">
        <f t="shared" si="494"/>
        <v>2Q24</v>
      </c>
      <c r="W98" s="104" t="str">
        <f t="shared" si="494"/>
        <v>3Q24</v>
      </c>
      <c r="X98" s="104" t="str">
        <f t="shared" si="494"/>
        <v>4Q24</v>
      </c>
      <c r="Y98" s="104" t="str">
        <f t="shared" si="494"/>
        <v>1Q25</v>
      </c>
      <c r="Z98" s="104" t="str">
        <f t="shared" si="494"/>
        <v>2Q25</v>
      </c>
      <c r="AA98" s="104" t="str">
        <f t="shared" si="494"/>
        <v>3Q25</v>
      </c>
      <c r="AB98" s="104"/>
      <c r="AC98" s="104" t="str">
        <f>AC7</f>
        <v>4Q23</v>
      </c>
      <c r="AD98" s="104" t="str">
        <f>AD7</f>
        <v>1Q24</v>
      </c>
      <c r="AE98" s="104" t="str">
        <f>AE7</f>
        <v>2Q24</v>
      </c>
      <c r="AF98" s="104" t="str">
        <f>AF7</f>
        <v>3Q24</v>
      </c>
      <c r="AG98" s="104" t="str">
        <f>AG7</f>
        <v>4Q24</v>
      </c>
      <c r="AH98" s="104" t="str">
        <f>AH7</f>
        <v>1Q25</v>
      </c>
      <c r="AI98" s="104" t="str">
        <f>AI7</f>
        <v>2Q25</v>
      </c>
      <c r="AJ98" s="104" t="str">
        <f>AJ7</f>
        <v>3Q25</v>
      </c>
      <c r="AK98" s="103"/>
      <c r="AL98" s="170"/>
    </row>
    <row r="99" spans="1:38" ht="12.75" customHeight="1">
      <c r="B99" s="99" t="str">
        <f>B8</f>
        <v>Fiscal Period End Date</v>
      </c>
      <c r="C99" s="105">
        <f>C8</f>
        <v>44196</v>
      </c>
      <c r="D99" s="105">
        <f>D8</f>
        <v>44561</v>
      </c>
      <c r="E99" s="105">
        <f>E8</f>
        <v>44926</v>
      </c>
      <c r="F99" s="105">
        <f>F8</f>
        <v>45291</v>
      </c>
      <c r="G99" s="105">
        <f>G8</f>
        <v>45657</v>
      </c>
      <c r="H99" s="103"/>
      <c r="I99" s="105">
        <f t="shared" ref="I99:AA99" si="495">I8</f>
        <v>44286</v>
      </c>
      <c r="J99" s="105">
        <f t="shared" si="495"/>
        <v>44377</v>
      </c>
      <c r="K99" s="105">
        <f t="shared" si="495"/>
        <v>44469</v>
      </c>
      <c r="L99" s="105">
        <f t="shared" si="495"/>
        <v>44561</v>
      </c>
      <c r="M99" s="105">
        <f t="shared" si="495"/>
        <v>44651</v>
      </c>
      <c r="N99" s="105">
        <f t="shared" si="495"/>
        <v>44742</v>
      </c>
      <c r="O99" s="105">
        <f t="shared" si="495"/>
        <v>44834</v>
      </c>
      <c r="P99" s="105">
        <f t="shared" si="495"/>
        <v>44926</v>
      </c>
      <c r="Q99" s="105">
        <f t="shared" si="495"/>
        <v>45016</v>
      </c>
      <c r="R99" s="105">
        <f t="shared" si="495"/>
        <v>45107</v>
      </c>
      <c r="S99" s="105">
        <f t="shared" si="495"/>
        <v>45199</v>
      </c>
      <c r="T99" s="105">
        <f t="shared" si="495"/>
        <v>45291</v>
      </c>
      <c r="U99" s="105">
        <f t="shared" si="495"/>
        <v>45382</v>
      </c>
      <c r="V99" s="105">
        <f t="shared" si="495"/>
        <v>45473</v>
      </c>
      <c r="W99" s="105">
        <f t="shared" si="495"/>
        <v>45565</v>
      </c>
      <c r="X99" s="105">
        <f t="shared" si="495"/>
        <v>45657</v>
      </c>
      <c r="Y99" s="105">
        <f t="shared" si="495"/>
        <v>45747</v>
      </c>
      <c r="Z99" s="105">
        <f t="shared" si="495"/>
        <v>45838</v>
      </c>
      <c r="AA99" s="105">
        <f t="shared" si="495"/>
        <v>45930</v>
      </c>
      <c r="AB99" s="105"/>
      <c r="AC99" s="105">
        <f>AC8</f>
        <v>45291</v>
      </c>
      <c r="AD99" s="105">
        <f>AD8</f>
        <v>45382</v>
      </c>
      <c r="AE99" s="105">
        <f>AE8</f>
        <v>45473</v>
      </c>
      <c r="AF99" s="105">
        <f>AF8</f>
        <v>45565</v>
      </c>
      <c r="AG99" s="105">
        <f>AG8</f>
        <v>45657</v>
      </c>
      <c r="AH99" s="105">
        <f>AH8</f>
        <v>45747</v>
      </c>
      <c r="AI99" s="105">
        <f>AI8</f>
        <v>45838</v>
      </c>
      <c r="AJ99" s="105">
        <f>AJ8</f>
        <v>45930</v>
      </c>
      <c r="AK99" s="103"/>
      <c r="AL99" s="170"/>
    </row>
    <row r="100" spans="1:38" ht="5.0999999999999996" customHeight="1">
      <c r="B100" s="54"/>
      <c r="C100" s="47"/>
      <c r="D100" s="47"/>
      <c r="E100" s="47"/>
      <c r="F100" s="47"/>
      <c r="G100" s="47"/>
    </row>
    <row r="101" spans="1:38" ht="12.75" customHeight="1">
      <c r="B101" s="55" t="s">
        <v>50</v>
      </c>
      <c r="C101" s="56"/>
      <c r="D101" s="56"/>
      <c r="E101" s="56"/>
      <c r="F101" s="56"/>
      <c r="G101" s="56"/>
    </row>
    <row r="102" spans="1:38" ht="12.75" customHeight="1">
      <c r="B102" s="57" t="s">
        <v>104</v>
      </c>
      <c r="C102" s="32">
        <f>C35</f>
        <v>-81</v>
      </c>
      <c r="D102" s="32">
        <f>D35</f>
        <v>1039</v>
      </c>
      <c r="E102" s="32">
        <f>E35</f>
        <v>696</v>
      </c>
      <c r="F102" s="32">
        <f>F35</f>
        <v>1592</v>
      </c>
      <c r="G102" s="32">
        <f>G35</f>
        <v>1848</v>
      </c>
      <c r="H102" s="32"/>
      <c r="I102" s="32">
        <f t="shared" ref="I102:AA102" si="496">I35</f>
        <v>341</v>
      </c>
      <c r="J102" s="32">
        <f t="shared" si="496"/>
        <v>186</v>
      </c>
      <c r="K102" s="32">
        <f t="shared" si="496"/>
        <v>419</v>
      </c>
      <c r="L102" s="32">
        <f t="shared" si="496"/>
        <v>93</v>
      </c>
      <c r="M102" s="32">
        <f t="shared" si="496"/>
        <v>111</v>
      </c>
      <c r="N102" s="32">
        <f t="shared" si="496"/>
        <v>260</v>
      </c>
      <c r="O102" s="32">
        <f t="shared" si="496"/>
        <v>188</v>
      </c>
      <c r="P102" s="32">
        <f t="shared" si="496"/>
        <v>137</v>
      </c>
      <c r="Q102" s="32">
        <f t="shared" si="496"/>
        <v>314</v>
      </c>
      <c r="R102" s="32">
        <f t="shared" si="496"/>
        <v>270</v>
      </c>
      <c r="S102" s="32">
        <f t="shared" si="496"/>
        <v>504</v>
      </c>
      <c r="T102" s="32">
        <f t="shared" si="496"/>
        <v>504</v>
      </c>
      <c r="U102" s="32">
        <f t="shared" si="496"/>
        <v>493</v>
      </c>
      <c r="V102" s="32">
        <f t="shared" si="496"/>
        <v>322</v>
      </c>
      <c r="W102" s="32">
        <f t="shared" si="496"/>
        <v>468</v>
      </c>
      <c r="X102" s="32">
        <f t="shared" si="496"/>
        <v>565</v>
      </c>
      <c r="Y102" s="32">
        <f t="shared" si="496"/>
        <v>672</v>
      </c>
      <c r="Z102" s="32">
        <f t="shared" si="496"/>
        <v>796</v>
      </c>
      <c r="AA102" s="32">
        <f t="shared" si="496"/>
        <v>755</v>
      </c>
      <c r="AB102" s="32"/>
      <c r="AC102" s="32">
        <f t="shared" ref="AC102:AJ102" si="497">AC35</f>
        <v>1592</v>
      </c>
      <c r="AD102" s="32">
        <f t="shared" si="497"/>
        <v>1771</v>
      </c>
      <c r="AE102" s="32">
        <f t="shared" si="497"/>
        <v>1823</v>
      </c>
      <c r="AF102" s="32">
        <f t="shared" si="497"/>
        <v>1787</v>
      </c>
      <c r="AG102" s="32">
        <f t="shared" si="497"/>
        <v>1848</v>
      </c>
      <c r="AH102" s="32">
        <f t="shared" si="497"/>
        <v>2027</v>
      </c>
      <c r="AI102" s="32">
        <f t="shared" si="497"/>
        <v>2501</v>
      </c>
      <c r="AJ102" s="32">
        <f t="shared" si="497"/>
        <v>2788</v>
      </c>
      <c r="AK102" s="11"/>
      <c r="AL102" s="75">
        <f>SUM(AJ102/AF102)-1</f>
        <v>0.5601566871852266</v>
      </c>
    </row>
    <row r="103" spans="1:38" ht="5.0999999999999996" customHeight="1"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C103" s="32"/>
      <c r="AD103" s="32"/>
      <c r="AE103" s="32"/>
      <c r="AF103" s="32"/>
      <c r="AG103" s="32"/>
      <c r="AH103" s="32"/>
      <c r="AI103" s="32"/>
      <c r="AJ103" s="32"/>
      <c r="AK103" s="11"/>
      <c r="AL103" s="75"/>
    </row>
    <row r="104" spans="1:38" ht="12.75" customHeight="1">
      <c r="B104" s="36" t="s">
        <v>57</v>
      </c>
      <c r="C104" s="32"/>
      <c r="D104" s="32"/>
      <c r="E104" s="32"/>
      <c r="F104" s="32"/>
      <c r="G104" s="32"/>
      <c r="H104" s="3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32"/>
      <c r="U104" s="82"/>
      <c r="V104" s="82"/>
      <c r="W104" s="82"/>
      <c r="X104" s="32"/>
      <c r="Y104" s="82"/>
      <c r="Z104" s="82"/>
      <c r="AA104" s="82"/>
      <c r="AC104" s="32"/>
      <c r="AD104" s="32"/>
      <c r="AE104" s="32"/>
      <c r="AF104" s="32"/>
      <c r="AG104" s="32"/>
      <c r="AH104" s="32"/>
      <c r="AI104" s="32"/>
      <c r="AJ104" s="32"/>
      <c r="AK104" s="59"/>
      <c r="AL104" s="75"/>
    </row>
    <row r="105" spans="1:38" ht="12.75" customHeight="1">
      <c r="B105" s="60" t="s">
        <v>213</v>
      </c>
      <c r="C105" s="82">
        <v>0</v>
      </c>
      <c r="D105" s="32">
        <f t="shared" ref="D105:AA105" si="498">-D25</f>
        <v>-78</v>
      </c>
      <c r="E105" s="32">
        <f t="shared" si="498"/>
        <v>22</v>
      </c>
      <c r="F105" s="32">
        <f t="shared" si="498"/>
        <v>0</v>
      </c>
      <c r="G105" s="32">
        <f t="shared" si="498"/>
        <v>0</v>
      </c>
      <c r="H105" s="32"/>
      <c r="I105" s="32">
        <f t="shared" si="498"/>
        <v>0</v>
      </c>
      <c r="J105" s="32">
        <f t="shared" si="498"/>
        <v>-2</v>
      </c>
      <c r="K105" s="32">
        <f t="shared" si="498"/>
        <v>-40</v>
      </c>
      <c r="L105" s="32">
        <f t="shared" si="498"/>
        <v>-36</v>
      </c>
      <c r="M105" s="32">
        <f t="shared" si="498"/>
        <v>0</v>
      </c>
      <c r="N105" s="32">
        <f t="shared" si="498"/>
        <v>0</v>
      </c>
      <c r="O105" s="32">
        <f t="shared" si="498"/>
        <v>0</v>
      </c>
      <c r="P105" s="32">
        <f t="shared" si="498"/>
        <v>22</v>
      </c>
      <c r="Q105" s="32">
        <f t="shared" si="498"/>
        <v>0</v>
      </c>
      <c r="R105" s="32">
        <f t="shared" si="498"/>
        <v>0</v>
      </c>
      <c r="S105" s="32">
        <f t="shared" si="498"/>
        <v>0</v>
      </c>
      <c r="T105" s="32">
        <f t="shared" si="498"/>
        <v>0</v>
      </c>
      <c r="U105" s="32">
        <f t="shared" si="498"/>
        <v>0</v>
      </c>
      <c r="V105" s="32">
        <f t="shared" si="498"/>
        <v>0</v>
      </c>
      <c r="W105" s="32">
        <f t="shared" si="498"/>
        <v>0</v>
      </c>
      <c r="X105" s="32">
        <f t="shared" si="498"/>
        <v>0</v>
      </c>
      <c r="Y105" s="32">
        <f t="shared" si="498"/>
        <v>0</v>
      </c>
      <c r="Z105" s="32">
        <f t="shared" si="498"/>
        <v>0</v>
      </c>
      <c r="AA105" s="32">
        <f t="shared" si="498"/>
        <v>0</v>
      </c>
      <c r="AC105" s="32">
        <f t="shared" ref="AC105:AJ119" si="499">SUM(Q105:T105)</f>
        <v>0</v>
      </c>
      <c r="AD105" s="32">
        <f t="shared" si="499"/>
        <v>0</v>
      </c>
      <c r="AE105" s="32">
        <f t="shared" si="499"/>
        <v>0</v>
      </c>
      <c r="AF105" s="32">
        <f t="shared" si="499"/>
        <v>0</v>
      </c>
      <c r="AG105" s="32">
        <f t="shared" si="499"/>
        <v>0</v>
      </c>
      <c r="AH105" s="32">
        <f t="shared" si="499"/>
        <v>0</v>
      </c>
      <c r="AI105" s="32">
        <f t="shared" si="499"/>
        <v>0</v>
      </c>
      <c r="AJ105" s="32">
        <f t="shared" si="499"/>
        <v>0</v>
      </c>
      <c r="AK105" s="11"/>
      <c r="AL105" s="75" t="e">
        <f t="shared" ref="AL105:AL120" si="500">SUM(AJ105/AF105)-1</f>
        <v>#DIV/0!</v>
      </c>
    </row>
    <row r="106" spans="1:38" ht="12.75" customHeight="1">
      <c r="B106" s="60" t="s">
        <v>214</v>
      </c>
      <c r="C106" s="82">
        <v>1123</v>
      </c>
      <c r="D106" s="82">
        <v>1093</v>
      </c>
      <c r="E106" s="82">
        <v>1136</v>
      </c>
      <c r="F106" s="82">
        <v>1196</v>
      </c>
      <c r="G106" s="82">
        <v>1269</v>
      </c>
      <c r="H106" s="32"/>
      <c r="I106" s="82"/>
      <c r="J106" s="82"/>
      <c r="K106" s="82"/>
      <c r="L106" s="32">
        <f t="shared" ref="L106:L119" si="501">SUM(D106-SUM(I106:K106))</f>
        <v>1093</v>
      </c>
      <c r="M106" s="82"/>
      <c r="N106" s="82"/>
      <c r="O106" s="82"/>
      <c r="P106" s="32">
        <f t="shared" ref="P106:P119" si="502">SUM(E106-SUM(M106:O106))</f>
        <v>1136</v>
      </c>
      <c r="Q106" s="82"/>
      <c r="R106" s="82"/>
      <c r="S106" s="82"/>
      <c r="T106" s="32">
        <f t="shared" ref="T106:T119" si="503">SUM(F106-SUM(Q106:S106))</f>
        <v>1196</v>
      </c>
      <c r="U106" s="82"/>
      <c r="V106" s="82"/>
      <c r="W106" s="82"/>
      <c r="X106" s="32">
        <f t="shared" ref="X106:X119" si="504">SUM(G106-SUM(U106:W106))</f>
        <v>1269</v>
      </c>
      <c r="Y106" s="82"/>
      <c r="Z106" s="82"/>
      <c r="AA106" s="82"/>
      <c r="AC106" s="32">
        <f t="shared" si="499"/>
        <v>1196</v>
      </c>
      <c r="AD106" s="32">
        <f t="shared" si="499"/>
        <v>1196</v>
      </c>
      <c r="AE106" s="32">
        <f t="shared" si="499"/>
        <v>1196</v>
      </c>
      <c r="AF106" s="32">
        <f t="shared" si="499"/>
        <v>1196</v>
      </c>
      <c r="AG106" s="32">
        <f t="shared" si="499"/>
        <v>1269</v>
      </c>
      <c r="AH106" s="32">
        <f t="shared" si="499"/>
        <v>1269</v>
      </c>
      <c r="AI106" s="32">
        <f t="shared" si="499"/>
        <v>1269</v>
      </c>
      <c r="AJ106" s="32">
        <f t="shared" si="499"/>
        <v>1269</v>
      </c>
      <c r="AK106" s="11"/>
      <c r="AL106" s="75">
        <f t="shared" ref="AL106" si="505">SUM(AJ106/AF106)-1</f>
        <v>6.1036789297658878E-2</v>
      </c>
    </row>
    <row r="107" spans="1:38" ht="12.75" customHeight="1">
      <c r="B107" s="60" t="s">
        <v>215</v>
      </c>
      <c r="C107" s="82">
        <v>-82</v>
      </c>
      <c r="D107" s="82">
        <v>-124</v>
      </c>
      <c r="E107" s="82">
        <v>-63</v>
      </c>
      <c r="F107" s="82">
        <v>-1</v>
      </c>
      <c r="G107" s="82">
        <v>-70</v>
      </c>
      <c r="H107" s="32"/>
      <c r="I107" s="82"/>
      <c r="J107" s="82"/>
      <c r="K107" s="82"/>
      <c r="L107" s="32">
        <f t="shared" si="501"/>
        <v>-124</v>
      </c>
      <c r="M107" s="82"/>
      <c r="N107" s="82"/>
      <c r="O107" s="82"/>
      <c r="P107" s="32">
        <f t="shared" si="502"/>
        <v>-63</v>
      </c>
      <c r="Q107" s="82"/>
      <c r="R107" s="82"/>
      <c r="S107" s="82"/>
      <c r="T107" s="32">
        <f t="shared" si="503"/>
        <v>-1</v>
      </c>
      <c r="U107" s="82"/>
      <c r="V107" s="82"/>
      <c r="W107" s="82"/>
      <c r="X107" s="32">
        <f t="shared" si="504"/>
        <v>-70</v>
      </c>
      <c r="Y107" s="82"/>
      <c r="Z107" s="82"/>
      <c r="AA107" s="82"/>
      <c r="AC107" s="32">
        <f t="shared" si="499"/>
        <v>-1</v>
      </c>
      <c r="AD107" s="32">
        <f t="shared" si="499"/>
        <v>-1</v>
      </c>
      <c r="AE107" s="32">
        <f t="shared" si="499"/>
        <v>-1</v>
      </c>
      <c r="AF107" s="32">
        <f t="shared" si="499"/>
        <v>-1</v>
      </c>
      <c r="AG107" s="32">
        <f t="shared" si="499"/>
        <v>-70</v>
      </c>
      <c r="AH107" s="32">
        <f t="shared" si="499"/>
        <v>-70</v>
      </c>
      <c r="AI107" s="32">
        <f t="shared" si="499"/>
        <v>-70</v>
      </c>
      <c r="AJ107" s="32">
        <f t="shared" si="499"/>
        <v>-70</v>
      </c>
      <c r="AK107" s="11"/>
      <c r="AL107" s="75">
        <f t="shared" si="500"/>
        <v>69</v>
      </c>
    </row>
    <row r="108" spans="1:38" ht="12.75" customHeight="1">
      <c r="B108" s="60" t="s">
        <v>216</v>
      </c>
      <c r="C108" s="82">
        <v>170</v>
      </c>
      <c r="D108" s="82">
        <v>194</v>
      </c>
      <c r="E108" s="82">
        <v>220</v>
      </c>
      <c r="F108" s="82">
        <v>233</v>
      </c>
      <c r="G108" s="82">
        <v>266</v>
      </c>
      <c r="H108" s="32"/>
      <c r="I108" s="82"/>
      <c r="J108" s="82"/>
      <c r="K108" s="82"/>
      <c r="L108" s="32">
        <f t="shared" si="501"/>
        <v>194</v>
      </c>
      <c r="M108" s="82"/>
      <c r="N108" s="82"/>
      <c r="O108" s="82"/>
      <c r="P108" s="32">
        <f t="shared" si="502"/>
        <v>220</v>
      </c>
      <c r="Q108" s="82"/>
      <c r="R108" s="82"/>
      <c r="S108" s="82"/>
      <c r="T108" s="32">
        <f t="shared" si="503"/>
        <v>233</v>
      </c>
      <c r="U108" s="82"/>
      <c r="V108" s="82"/>
      <c r="W108" s="82"/>
      <c r="X108" s="32">
        <f t="shared" si="504"/>
        <v>266</v>
      </c>
      <c r="Y108" s="82"/>
      <c r="Z108" s="82"/>
      <c r="AA108" s="82"/>
      <c r="AC108" s="32">
        <f t="shared" si="499"/>
        <v>233</v>
      </c>
      <c r="AD108" s="32">
        <f t="shared" si="499"/>
        <v>233</v>
      </c>
      <c r="AE108" s="32">
        <f t="shared" si="499"/>
        <v>233</v>
      </c>
      <c r="AF108" s="32">
        <f t="shared" si="499"/>
        <v>233</v>
      </c>
      <c r="AG108" s="32">
        <f t="shared" si="499"/>
        <v>266</v>
      </c>
      <c r="AH108" s="32">
        <f t="shared" si="499"/>
        <v>266</v>
      </c>
      <c r="AI108" s="32">
        <f t="shared" si="499"/>
        <v>266</v>
      </c>
      <c r="AJ108" s="32">
        <f t="shared" si="499"/>
        <v>266</v>
      </c>
      <c r="AK108" s="11"/>
      <c r="AL108" s="75">
        <f t="shared" si="500"/>
        <v>0.14163090128755362</v>
      </c>
    </row>
    <row r="109" spans="1:38" ht="12.75" customHeight="1">
      <c r="B109" s="60" t="s">
        <v>217</v>
      </c>
      <c r="C109" s="82">
        <v>533</v>
      </c>
      <c r="D109" s="32">
        <f t="shared" ref="D109:F109" si="506">-D21</f>
        <v>370</v>
      </c>
      <c r="E109" s="32">
        <f t="shared" si="506"/>
        <v>132</v>
      </c>
      <c r="F109" s="32">
        <f t="shared" si="506"/>
        <v>58</v>
      </c>
      <c r="G109" s="32">
        <f>-G21</f>
        <v>386</v>
      </c>
      <c r="H109" s="32"/>
      <c r="I109" s="32">
        <f t="shared" ref="I109:AA109" si="507">-I21</f>
        <v>-6</v>
      </c>
      <c r="J109" s="32">
        <f t="shared" si="507"/>
        <v>45</v>
      </c>
      <c r="K109" s="32">
        <f t="shared" si="507"/>
        <v>128</v>
      </c>
      <c r="L109" s="32">
        <f t="shared" si="507"/>
        <v>203</v>
      </c>
      <c r="M109" s="32">
        <f t="shared" si="507"/>
        <v>12</v>
      </c>
      <c r="N109" s="32">
        <f t="shared" si="507"/>
        <v>7</v>
      </c>
      <c r="O109" s="32">
        <f t="shared" si="507"/>
        <v>125</v>
      </c>
      <c r="P109" s="32">
        <f t="shared" si="507"/>
        <v>-12</v>
      </c>
      <c r="Q109" s="32">
        <f t="shared" si="507"/>
        <v>0</v>
      </c>
      <c r="R109" s="32">
        <f t="shared" si="507"/>
        <v>57</v>
      </c>
      <c r="S109" s="32">
        <f t="shared" si="507"/>
        <v>1</v>
      </c>
      <c r="T109" s="32">
        <f t="shared" si="507"/>
        <v>0</v>
      </c>
      <c r="U109" s="32">
        <f t="shared" si="507"/>
        <v>17</v>
      </c>
      <c r="V109" s="32">
        <f t="shared" si="507"/>
        <v>276</v>
      </c>
      <c r="W109" s="32">
        <f t="shared" si="507"/>
        <v>0</v>
      </c>
      <c r="X109" s="32">
        <f t="shared" si="507"/>
        <v>93</v>
      </c>
      <c r="Y109" s="32">
        <f t="shared" si="507"/>
        <v>0</v>
      </c>
      <c r="Z109" s="32">
        <f t="shared" si="507"/>
        <v>46</v>
      </c>
      <c r="AA109" s="32">
        <f t="shared" si="507"/>
        <v>0</v>
      </c>
      <c r="AC109" s="32">
        <f t="shared" ref="AC109:AC112" si="508">SUM(Q109:T109)</f>
        <v>58</v>
      </c>
      <c r="AD109" s="32">
        <f t="shared" ref="AD109:AD112" si="509">SUM(R109:U109)</f>
        <v>75</v>
      </c>
      <c r="AE109" s="32">
        <f t="shared" ref="AE109:AE112" si="510">SUM(S109:V109)</f>
        <v>294</v>
      </c>
      <c r="AF109" s="32">
        <f t="shared" ref="AF109:AF112" si="511">SUM(T109:W109)</f>
        <v>293</v>
      </c>
      <c r="AG109" s="32">
        <f t="shared" ref="AG109:AG112" si="512">SUM(U109:X109)</f>
        <v>386</v>
      </c>
      <c r="AH109" s="32">
        <f t="shared" ref="AH109:AH112" si="513">SUM(V109:Y109)</f>
        <v>369</v>
      </c>
      <c r="AI109" s="32">
        <f t="shared" ref="AI109:AI112" si="514">SUM(W109:Z109)</f>
        <v>139</v>
      </c>
      <c r="AJ109" s="32">
        <f t="shared" ref="AJ109:AJ112" si="515">SUM(X109:AA109)</f>
        <v>139</v>
      </c>
      <c r="AK109" s="11"/>
      <c r="AL109" s="75">
        <f t="shared" ref="AL109:AL112" si="516">SUM(AJ109/AF109)-1</f>
        <v>-0.52559726962457343</v>
      </c>
    </row>
    <row r="110" spans="1:38" ht="12.75" customHeight="1">
      <c r="B110" s="60" t="s">
        <v>243</v>
      </c>
      <c r="C110" s="82">
        <v>-333</v>
      </c>
      <c r="D110" s="82">
        <v>-250</v>
      </c>
      <c r="E110" s="82">
        <v>1</v>
      </c>
      <c r="F110" s="82">
        <v>59</v>
      </c>
      <c r="G110" s="82">
        <v>79</v>
      </c>
      <c r="H110" s="32"/>
      <c r="I110" s="82"/>
      <c r="J110" s="82"/>
      <c r="K110" s="82"/>
      <c r="L110" s="32">
        <f t="shared" ref="L110" si="517">SUM(D110-SUM(I110:K110))</f>
        <v>-250</v>
      </c>
      <c r="M110" s="82"/>
      <c r="N110" s="82"/>
      <c r="O110" s="82"/>
      <c r="P110" s="32">
        <f t="shared" ref="P110" si="518">SUM(E110-SUM(M110:O110))</f>
        <v>1</v>
      </c>
      <c r="Q110" s="82"/>
      <c r="R110" s="82"/>
      <c r="S110" s="82"/>
      <c r="T110" s="32">
        <f t="shared" ref="T110" si="519">SUM(F110-SUM(Q110:S110))</f>
        <v>59</v>
      </c>
      <c r="U110" s="82"/>
      <c r="V110" s="82"/>
      <c r="W110" s="82"/>
      <c r="X110" s="32">
        <f t="shared" ref="X110" si="520">SUM(G110-SUM(U110:W110))</f>
        <v>79</v>
      </c>
      <c r="Y110" s="82"/>
      <c r="Z110" s="82"/>
      <c r="AA110" s="82"/>
      <c r="AC110" s="32">
        <f t="shared" ref="AC110" si="521">SUM(Q110:T110)</f>
        <v>59</v>
      </c>
      <c r="AD110" s="32">
        <f t="shared" ref="AD110" si="522">SUM(R110:U110)</f>
        <v>59</v>
      </c>
      <c r="AE110" s="32">
        <f t="shared" ref="AE110" si="523">SUM(S110:V110)</f>
        <v>59</v>
      </c>
      <c r="AF110" s="32">
        <f t="shared" ref="AF110" si="524">SUM(T110:W110)</f>
        <v>59</v>
      </c>
      <c r="AG110" s="32">
        <f t="shared" ref="AG110" si="525">SUM(U110:X110)</f>
        <v>79</v>
      </c>
      <c r="AH110" s="32">
        <f t="shared" ref="AH110" si="526">SUM(V110:Y110)</f>
        <v>79</v>
      </c>
      <c r="AI110" s="32">
        <f t="shared" ref="AI110" si="527">SUM(W110:Z110)</f>
        <v>79</v>
      </c>
      <c r="AJ110" s="32">
        <f t="shared" ref="AJ110" si="528">SUM(X110:AA110)</f>
        <v>79</v>
      </c>
      <c r="AK110" s="11"/>
      <c r="AL110" s="75">
        <f t="shared" ref="AL110" si="529">SUM(AJ110/AF110)-1</f>
        <v>0.33898305084745761</v>
      </c>
    </row>
    <row r="111" spans="1:38" ht="12.75" customHeight="1">
      <c r="B111" s="60" t="s">
        <v>218</v>
      </c>
      <c r="C111" s="32">
        <f t="shared" ref="C111:G111" si="530">-C22</f>
        <v>-100</v>
      </c>
      <c r="D111" s="32">
        <f t="shared" si="530"/>
        <v>-136</v>
      </c>
      <c r="E111" s="32">
        <f t="shared" si="530"/>
        <v>35</v>
      </c>
      <c r="F111" s="32">
        <f t="shared" si="530"/>
        <v>58</v>
      </c>
      <c r="G111" s="32">
        <f>-G22</f>
        <v>-5</v>
      </c>
      <c r="H111" s="32"/>
      <c r="I111" s="32">
        <f t="shared" ref="I111:AA111" si="531">-I22</f>
        <v>5</v>
      </c>
      <c r="J111" s="32">
        <f t="shared" si="531"/>
        <v>-85</v>
      </c>
      <c r="K111" s="32">
        <f t="shared" si="531"/>
        <v>-26</v>
      </c>
      <c r="L111" s="32">
        <f t="shared" si="531"/>
        <v>-30</v>
      </c>
      <c r="M111" s="32">
        <f t="shared" si="531"/>
        <v>4</v>
      </c>
      <c r="N111" s="32">
        <f t="shared" si="531"/>
        <v>36</v>
      </c>
      <c r="O111" s="32">
        <f t="shared" si="531"/>
        <v>20</v>
      </c>
      <c r="P111" s="32">
        <f t="shared" si="531"/>
        <v>-25</v>
      </c>
      <c r="Q111" s="32">
        <f t="shared" si="531"/>
        <v>0</v>
      </c>
      <c r="R111" s="32">
        <f t="shared" si="531"/>
        <v>19</v>
      </c>
      <c r="S111" s="32">
        <f t="shared" si="531"/>
        <v>11</v>
      </c>
      <c r="T111" s="32">
        <f t="shared" si="531"/>
        <v>28</v>
      </c>
      <c r="U111" s="32">
        <f t="shared" si="531"/>
        <v>0</v>
      </c>
      <c r="V111" s="32">
        <f t="shared" si="531"/>
        <v>2</v>
      </c>
      <c r="W111" s="32">
        <f t="shared" si="531"/>
        <v>-23</v>
      </c>
      <c r="X111" s="32">
        <f t="shared" si="531"/>
        <v>16</v>
      </c>
      <c r="Y111" s="32">
        <f t="shared" si="531"/>
        <v>6</v>
      </c>
      <c r="Z111" s="32">
        <f t="shared" si="531"/>
        <v>-5</v>
      </c>
      <c r="AA111" s="32">
        <f t="shared" si="531"/>
        <v>11</v>
      </c>
      <c r="AC111" s="32">
        <f t="shared" si="508"/>
        <v>58</v>
      </c>
      <c r="AD111" s="32">
        <f t="shared" si="509"/>
        <v>58</v>
      </c>
      <c r="AE111" s="32">
        <f t="shared" si="510"/>
        <v>41</v>
      </c>
      <c r="AF111" s="32">
        <f t="shared" si="511"/>
        <v>7</v>
      </c>
      <c r="AG111" s="32">
        <f t="shared" si="512"/>
        <v>-5</v>
      </c>
      <c r="AH111" s="32">
        <f t="shared" si="513"/>
        <v>1</v>
      </c>
      <c r="AI111" s="32">
        <f t="shared" si="514"/>
        <v>-6</v>
      </c>
      <c r="AJ111" s="32">
        <f t="shared" si="515"/>
        <v>28</v>
      </c>
      <c r="AK111" s="11"/>
      <c r="AL111" s="75">
        <f t="shared" si="516"/>
        <v>3</v>
      </c>
    </row>
    <row r="112" spans="1:38" ht="12.75" customHeight="1">
      <c r="B112" s="60" t="s">
        <v>219</v>
      </c>
      <c r="C112" s="82">
        <v>58</v>
      </c>
      <c r="D112" s="82">
        <v>34</v>
      </c>
      <c r="E112" s="82">
        <v>32</v>
      </c>
      <c r="F112" s="82">
        <v>6</v>
      </c>
      <c r="G112" s="82">
        <v>51</v>
      </c>
      <c r="H112" s="32"/>
      <c r="I112" s="82"/>
      <c r="J112" s="82"/>
      <c r="K112" s="82"/>
      <c r="L112" s="32">
        <f t="shared" ref="L112" si="532">SUM(D112-SUM(I112:K112))</f>
        <v>34</v>
      </c>
      <c r="M112" s="82"/>
      <c r="N112" s="82"/>
      <c r="O112" s="82"/>
      <c r="P112" s="32">
        <f t="shared" ref="P112" si="533">SUM(E112-SUM(M112:O112))</f>
        <v>32</v>
      </c>
      <c r="Q112" s="82"/>
      <c r="R112" s="82"/>
      <c r="S112" s="82"/>
      <c r="T112" s="32">
        <f t="shared" ref="T112" si="534">SUM(F112-SUM(Q112:S112))</f>
        <v>6</v>
      </c>
      <c r="U112" s="82"/>
      <c r="V112" s="82"/>
      <c r="W112" s="82"/>
      <c r="X112" s="32">
        <f t="shared" ref="X112" si="535">SUM(G112-SUM(U112:W112))</f>
        <v>51</v>
      </c>
      <c r="Y112" s="82"/>
      <c r="Z112" s="82"/>
      <c r="AA112" s="82"/>
      <c r="AC112" s="32">
        <f t="shared" si="508"/>
        <v>6</v>
      </c>
      <c r="AD112" s="32">
        <f t="shared" si="509"/>
        <v>6</v>
      </c>
      <c r="AE112" s="32">
        <f t="shared" si="510"/>
        <v>6</v>
      </c>
      <c r="AF112" s="32">
        <f t="shared" si="511"/>
        <v>6</v>
      </c>
      <c r="AG112" s="32">
        <f t="shared" si="512"/>
        <v>51</v>
      </c>
      <c r="AH112" s="32">
        <f t="shared" si="513"/>
        <v>51</v>
      </c>
      <c r="AI112" s="32">
        <f t="shared" si="514"/>
        <v>51</v>
      </c>
      <c r="AJ112" s="32">
        <f t="shared" si="515"/>
        <v>51</v>
      </c>
      <c r="AK112" s="11"/>
      <c r="AL112" s="75">
        <f t="shared" si="516"/>
        <v>7.5</v>
      </c>
    </row>
    <row r="113" spans="2:38" ht="12.75" customHeight="1">
      <c r="B113" s="60" t="s">
        <v>220</v>
      </c>
      <c r="C113" s="82">
        <v>0</v>
      </c>
      <c r="D113" s="82">
        <v>0</v>
      </c>
      <c r="E113" s="82">
        <v>194</v>
      </c>
      <c r="F113" s="82">
        <v>0</v>
      </c>
      <c r="G113" s="82">
        <v>0</v>
      </c>
      <c r="H113" s="32"/>
      <c r="I113" s="82"/>
      <c r="J113" s="82"/>
      <c r="K113" s="82"/>
      <c r="L113" s="32">
        <f t="shared" ref="L113:L114" si="536">SUM(D113-SUM(I113:K113))</f>
        <v>0</v>
      </c>
      <c r="M113" s="82"/>
      <c r="N113" s="82"/>
      <c r="O113" s="82"/>
      <c r="P113" s="32">
        <f t="shared" ref="P113:P114" si="537">SUM(E113-SUM(M113:O113))</f>
        <v>194</v>
      </c>
      <c r="Q113" s="82"/>
      <c r="R113" s="82"/>
      <c r="S113" s="82"/>
      <c r="T113" s="32">
        <f t="shared" ref="T113:T114" si="538">SUM(F113-SUM(Q113:S113))</f>
        <v>0</v>
      </c>
      <c r="U113" s="82"/>
      <c r="V113" s="82"/>
      <c r="W113" s="82"/>
      <c r="X113" s="32">
        <f t="shared" ref="X113:X114" si="539">SUM(G113-SUM(U113:W113))</f>
        <v>0</v>
      </c>
      <c r="Y113" s="82"/>
      <c r="Z113" s="82"/>
      <c r="AA113" s="82"/>
      <c r="AC113" s="32">
        <f t="shared" ref="AC113:AC114" si="540">SUM(Q113:T113)</f>
        <v>0</v>
      </c>
      <c r="AD113" s="32">
        <f t="shared" ref="AD113:AD114" si="541">SUM(R113:U113)</f>
        <v>0</v>
      </c>
      <c r="AE113" s="32">
        <f t="shared" ref="AE113:AE114" si="542">SUM(S113:V113)</f>
        <v>0</v>
      </c>
      <c r="AF113" s="32">
        <f t="shared" ref="AF113:AF114" si="543">SUM(T113:W113)</f>
        <v>0</v>
      </c>
      <c r="AG113" s="32">
        <f t="shared" ref="AG113:AG114" si="544">SUM(U113:X113)</f>
        <v>0</v>
      </c>
      <c r="AH113" s="32">
        <f t="shared" ref="AH113:AH114" si="545">SUM(V113:Y113)</f>
        <v>0</v>
      </c>
      <c r="AI113" s="32">
        <f t="shared" ref="AI113:AI114" si="546">SUM(W113:Z113)</f>
        <v>0</v>
      </c>
      <c r="AJ113" s="32">
        <f t="shared" ref="AJ113:AJ114" si="547">SUM(X113:AA113)</f>
        <v>0</v>
      </c>
      <c r="AK113" s="11"/>
      <c r="AL113" s="75" t="e">
        <f t="shared" ref="AL113:AL114" si="548">SUM(AJ113/AF113)-1</f>
        <v>#DIV/0!</v>
      </c>
    </row>
    <row r="114" spans="2:38" ht="12.75" customHeight="1">
      <c r="B114" s="60" t="s">
        <v>190</v>
      </c>
      <c r="C114" s="82">
        <v>244</v>
      </c>
      <c r="D114" s="82">
        <v>78</v>
      </c>
      <c r="E114" s="82">
        <v>125</v>
      </c>
      <c r="F114" s="82">
        <v>73</v>
      </c>
      <c r="G114" s="82">
        <v>74</v>
      </c>
      <c r="H114" s="32"/>
      <c r="I114" s="82"/>
      <c r="J114" s="82"/>
      <c r="K114" s="82"/>
      <c r="L114" s="32">
        <f t="shared" si="536"/>
        <v>78</v>
      </c>
      <c r="M114" s="82"/>
      <c r="N114" s="82"/>
      <c r="O114" s="82"/>
      <c r="P114" s="32">
        <f t="shared" si="537"/>
        <v>125</v>
      </c>
      <c r="Q114" s="82"/>
      <c r="R114" s="82"/>
      <c r="S114" s="82"/>
      <c r="T114" s="32">
        <f t="shared" si="538"/>
        <v>73</v>
      </c>
      <c r="U114" s="82"/>
      <c r="V114" s="82"/>
      <c r="W114" s="82"/>
      <c r="X114" s="32">
        <f t="shared" si="539"/>
        <v>74</v>
      </c>
      <c r="Y114" s="82"/>
      <c r="Z114" s="82"/>
      <c r="AA114" s="82"/>
      <c r="AC114" s="32">
        <f t="shared" si="540"/>
        <v>73</v>
      </c>
      <c r="AD114" s="32">
        <f t="shared" si="541"/>
        <v>73</v>
      </c>
      <c r="AE114" s="32">
        <f t="shared" si="542"/>
        <v>73</v>
      </c>
      <c r="AF114" s="32">
        <f t="shared" si="543"/>
        <v>73</v>
      </c>
      <c r="AG114" s="32">
        <f t="shared" si="544"/>
        <v>74</v>
      </c>
      <c r="AH114" s="32">
        <f t="shared" si="545"/>
        <v>74</v>
      </c>
      <c r="AI114" s="32">
        <f t="shared" si="546"/>
        <v>74</v>
      </c>
      <c r="AJ114" s="32">
        <f t="shared" si="547"/>
        <v>74</v>
      </c>
      <c r="AK114" s="11"/>
      <c r="AL114" s="75">
        <f t="shared" si="548"/>
        <v>1.3698630136986356E-2</v>
      </c>
    </row>
    <row r="115" spans="2:38" ht="12.75" customHeight="1">
      <c r="B115" s="36" t="s">
        <v>212</v>
      </c>
      <c r="C115" s="82"/>
      <c r="D115" s="82"/>
      <c r="E115" s="82"/>
      <c r="F115" s="82"/>
      <c r="G115" s="82"/>
      <c r="H115" s="32"/>
      <c r="I115" s="82"/>
      <c r="J115" s="82"/>
      <c r="K115" s="82"/>
      <c r="L115" s="32"/>
      <c r="M115" s="82"/>
      <c r="N115" s="82"/>
      <c r="O115" s="82"/>
      <c r="P115" s="32"/>
      <c r="Q115" s="82"/>
      <c r="R115" s="82"/>
      <c r="S115" s="82"/>
      <c r="T115" s="32"/>
      <c r="U115" s="82"/>
      <c r="V115" s="82"/>
      <c r="W115" s="82"/>
      <c r="X115" s="32"/>
      <c r="Y115" s="82"/>
      <c r="Z115" s="82"/>
      <c r="AA115" s="82"/>
      <c r="AC115" s="32"/>
      <c r="AD115" s="32"/>
      <c r="AE115" s="32"/>
      <c r="AF115" s="32"/>
      <c r="AG115" s="32"/>
      <c r="AH115" s="32"/>
      <c r="AI115" s="32"/>
      <c r="AJ115" s="32"/>
      <c r="AK115" s="11"/>
      <c r="AL115" s="75"/>
    </row>
    <row r="116" spans="2:38" ht="12.75" customHeight="1">
      <c r="B116" s="60" t="s">
        <v>221</v>
      </c>
      <c r="C116" s="82">
        <v>335</v>
      </c>
      <c r="D116" s="82">
        <v>-279</v>
      </c>
      <c r="E116" s="82">
        <v>-220</v>
      </c>
      <c r="F116" s="82">
        <v>-238</v>
      </c>
      <c r="G116" s="82">
        <v>-351</v>
      </c>
      <c r="H116" s="32"/>
      <c r="I116" s="82"/>
      <c r="J116" s="82"/>
      <c r="K116" s="82"/>
      <c r="L116" s="32">
        <f t="shared" ref="L116:L118" si="549">SUM(D116-SUM(I116:K116))</f>
        <v>-279</v>
      </c>
      <c r="M116" s="82"/>
      <c r="N116" s="82"/>
      <c r="O116" s="82"/>
      <c r="P116" s="32">
        <f t="shared" ref="P116:P118" si="550">SUM(E116-SUM(M116:O116))</f>
        <v>-220</v>
      </c>
      <c r="Q116" s="82"/>
      <c r="R116" s="82"/>
      <c r="S116" s="82"/>
      <c r="T116" s="32">
        <f t="shared" ref="T116:T118" si="551">SUM(F116-SUM(Q116:S116))</f>
        <v>-238</v>
      </c>
      <c r="U116" s="82"/>
      <c r="V116" s="82"/>
      <c r="W116" s="82"/>
      <c r="X116" s="32">
        <f t="shared" ref="X116:X118" si="552">SUM(G116-SUM(U116:W116))</f>
        <v>-351</v>
      </c>
      <c r="Y116" s="82"/>
      <c r="Z116" s="82"/>
      <c r="AA116" s="82"/>
      <c r="AC116" s="32">
        <f t="shared" ref="AC116:AC118" si="553">SUM(Q116:T116)</f>
        <v>-238</v>
      </c>
      <c r="AD116" s="32">
        <f t="shared" ref="AD116:AD118" si="554">SUM(R116:U116)</f>
        <v>-238</v>
      </c>
      <c r="AE116" s="32">
        <f t="shared" ref="AE116:AE118" si="555">SUM(S116:V116)</f>
        <v>-238</v>
      </c>
      <c r="AF116" s="32">
        <f t="shared" ref="AF116:AF118" si="556">SUM(T116:W116)</f>
        <v>-238</v>
      </c>
      <c r="AG116" s="32">
        <f t="shared" ref="AG116:AG118" si="557">SUM(U116:X116)</f>
        <v>-351</v>
      </c>
      <c r="AH116" s="32">
        <f t="shared" ref="AH116:AH118" si="558">SUM(V116:Y116)</f>
        <v>-351</v>
      </c>
      <c r="AI116" s="32">
        <f t="shared" ref="AI116:AI118" si="559">SUM(W116:Z116)</f>
        <v>-351</v>
      </c>
      <c r="AJ116" s="32">
        <f t="shared" ref="AJ116:AJ118" si="560">SUM(X116:AA116)</f>
        <v>-351</v>
      </c>
      <c r="AK116" s="11"/>
      <c r="AL116" s="75">
        <f t="shared" ref="AL116:AL118" si="561">SUM(AJ116/AF116)-1</f>
        <v>0.47478991596638664</v>
      </c>
    </row>
    <row r="117" spans="2:38" ht="12.75" customHeight="1">
      <c r="B117" s="60" t="s">
        <v>105</v>
      </c>
      <c r="C117" s="82">
        <v>-65</v>
      </c>
      <c r="D117" s="82">
        <v>-346</v>
      </c>
      <c r="E117" s="82">
        <v>-321</v>
      </c>
      <c r="F117" s="82">
        <v>-660</v>
      </c>
      <c r="G117" s="82">
        <v>-228</v>
      </c>
      <c r="H117" s="32"/>
      <c r="I117" s="82"/>
      <c r="J117" s="82"/>
      <c r="K117" s="82"/>
      <c r="L117" s="32">
        <f t="shared" si="549"/>
        <v>-346</v>
      </c>
      <c r="M117" s="82"/>
      <c r="N117" s="82"/>
      <c r="O117" s="82"/>
      <c r="P117" s="32">
        <f t="shared" si="550"/>
        <v>-321</v>
      </c>
      <c r="Q117" s="82"/>
      <c r="R117" s="82"/>
      <c r="S117" s="82"/>
      <c r="T117" s="32">
        <f t="shared" si="551"/>
        <v>-660</v>
      </c>
      <c r="U117" s="82"/>
      <c r="V117" s="82"/>
      <c r="W117" s="82"/>
      <c r="X117" s="32">
        <f t="shared" si="552"/>
        <v>-228</v>
      </c>
      <c r="Y117" s="82"/>
      <c r="Z117" s="82"/>
      <c r="AA117" s="82"/>
      <c r="AC117" s="32">
        <f t="shared" si="553"/>
        <v>-660</v>
      </c>
      <c r="AD117" s="32">
        <f t="shared" si="554"/>
        <v>-660</v>
      </c>
      <c r="AE117" s="32">
        <f t="shared" si="555"/>
        <v>-660</v>
      </c>
      <c r="AF117" s="32">
        <f t="shared" si="556"/>
        <v>-660</v>
      </c>
      <c r="AG117" s="32">
        <f t="shared" si="557"/>
        <v>-228</v>
      </c>
      <c r="AH117" s="32">
        <f t="shared" si="558"/>
        <v>-228</v>
      </c>
      <c r="AI117" s="32">
        <f t="shared" si="559"/>
        <v>-228</v>
      </c>
      <c r="AJ117" s="32">
        <f t="shared" si="560"/>
        <v>-228</v>
      </c>
      <c r="AK117" s="11"/>
      <c r="AL117" s="75">
        <f t="shared" si="561"/>
        <v>-0.65454545454545454</v>
      </c>
    </row>
    <row r="118" spans="2:38" ht="12.75" customHeight="1">
      <c r="B118" s="60" t="s">
        <v>222</v>
      </c>
      <c r="C118" s="82">
        <v>-265</v>
      </c>
      <c r="D118" s="82">
        <v>-134</v>
      </c>
      <c r="E118" s="82">
        <v>-209</v>
      </c>
      <c r="F118" s="82">
        <v>10</v>
      </c>
      <c r="G118" s="82">
        <v>-126</v>
      </c>
      <c r="H118" s="32"/>
      <c r="I118" s="82"/>
      <c r="J118" s="82"/>
      <c r="K118" s="82"/>
      <c r="L118" s="32">
        <f t="shared" si="549"/>
        <v>-134</v>
      </c>
      <c r="M118" s="82"/>
      <c r="N118" s="82"/>
      <c r="O118" s="82"/>
      <c r="P118" s="32">
        <f t="shared" si="550"/>
        <v>-209</v>
      </c>
      <c r="Q118" s="82"/>
      <c r="R118" s="82"/>
      <c r="S118" s="82"/>
      <c r="T118" s="32">
        <f t="shared" si="551"/>
        <v>10</v>
      </c>
      <c r="U118" s="82"/>
      <c r="V118" s="82"/>
      <c r="W118" s="82"/>
      <c r="X118" s="32">
        <f t="shared" si="552"/>
        <v>-126</v>
      </c>
      <c r="Y118" s="82"/>
      <c r="Z118" s="82"/>
      <c r="AA118" s="82"/>
      <c r="AC118" s="32">
        <f t="shared" si="553"/>
        <v>10</v>
      </c>
      <c r="AD118" s="32">
        <f t="shared" si="554"/>
        <v>10</v>
      </c>
      <c r="AE118" s="32">
        <f t="shared" si="555"/>
        <v>10</v>
      </c>
      <c r="AF118" s="32">
        <f t="shared" si="556"/>
        <v>10</v>
      </c>
      <c r="AG118" s="32">
        <f t="shared" si="557"/>
        <v>-126</v>
      </c>
      <c r="AH118" s="32">
        <f t="shared" si="558"/>
        <v>-126</v>
      </c>
      <c r="AI118" s="32">
        <f t="shared" si="559"/>
        <v>-126</v>
      </c>
      <c r="AJ118" s="32">
        <f t="shared" si="560"/>
        <v>-126</v>
      </c>
      <c r="AK118" s="11"/>
      <c r="AL118" s="75">
        <f t="shared" si="561"/>
        <v>-13.6</v>
      </c>
    </row>
    <row r="119" spans="2:38" ht="12.75" customHeight="1">
      <c r="B119" s="60" t="s">
        <v>223</v>
      </c>
      <c r="C119" s="82">
        <v>-28</v>
      </c>
      <c r="D119" s="82">
        <v>408</v>
      </c>
      <c r="E119" s="82">
        <v>-255</v>
      </c>
      <c r="F119" s="82">
        <v>118</v>
      </c>
      <c r="G119" s="82">
        <v>243</v>
      </c>
      <c r="H119" s="32"/>
      <c r="I119" s="82"/>
      <c r="J119" s="82"/>
      <c r="K119" s="82"/>
      <c r="L119" s="32">
        <f t="shared" si="501"/>
        <v>408</v>
      </c>
      <c r="M119" s="82"/>
      <c r="N119" s="82"/>
      <c r="O119" s="82"/>
      <c r="P119" s="32">
        <f t="shared" si="502"/>
        <v>-255</v>
      </c>
      <c r="Q119" s="82"/>
      <c r="R119" s="82"/>
      <c r="S119" s="82"/>
      <c r="T119" s="32">
        <f t="shared" si="503"/>
        <v>118</v>
      </c>
      <c r="U119" s="82"/>
      <c r="V119" s="82"/>
      <c r="W119" s="82"/>
      <c r="X119" s="32">
        <f t="shared" si="504"/>
        <v>243</v>
      </c>
      <c r="Y119" s="82"/>
      <c r="Z119" s="82"/>
      <c r="AA119" s="82"/>
      <c r="AC119" s="32">
        <f t="shared" si="499"/>
        <v>118</v>
      </c>
      <c r="AD119" s="32">
        <f t="shared" si="499"/>
        <v>118</v>
      </c>
      <c r="AE119" s="32">
        <f t="shared" si="499"/>
        <v>118</v>
      </c>
      <c r="AF119" s="32">
        <f t="shared" si="499"/>
        <v>118</v>
      </c>
      <c r="AG119" s="32">
        <f t="shared" si="499"/>
        <v>243</v>
      </c>
      <c r="AH119" s="32">
        <f t="shared" si="499"/>
        <v>243</v>
      </c>
      <c r="AI119" s="32">
        <f t="shared" si="499"/>
        <v>243</v>
      </c>
      <c r="AJ119" s="32">
        <f t="shared" si="499"/>
        <v>243</v>
      </c>
      <c r="AK119" s="11"/>
      <c r="AL119" s="75">
        <f t="shared" si="500"/>
        <v>1.0593220338983049</v>
      </c>
    </row>
    <row r="120" spans="2:38" ht="12.75" customHeight="1">
      <c r="B120" s="13" t="s">
        <v>51</v>
      </c>
      <c r="C120" s="14">
        <f>SUM(C102:C119)</f>
        <v>1509</v>
      </c>
      <c r="D120" s="14">
        <f>SUM(D102:D119)</f>
        <v>1869</v>
      </c>
      <c r="E120" s="14">
        <f>SUM(E102:E119)</f>
        <v>1525</v>
      </c>
      <c r="F120" s="14">
        <f>SUM(F102:F119)</f>
        <v>2504</v>
      </c>
      <c r="G120" s="14">
        <f>SUM(G102:G119)</f>
        <v>3436</v>
      </c>
      <c r="I120" s="14">
        <f>SUM(I102:I119)</f>
        <v>340</v>
      </c>
      <c r="J120" s="14">
        <f>SUM(J102:J119)</f>
        <v>144</v>
      </c>
      <c r="K120" s="14">
        <f>SUM(K102:K119)</f>
        <v>481</v>
      </c>
      <c r="L120" s="14">
        <f>SUM(L102:L119)</f>
        <v>904</v>
      </c>
      <c r="M120" s="14">
        <f>SUM(M102:M119)</f>
        <v>127</v>
      </c>
      <c r="N120" s="14">
        <f>SUM(N102:N119)</f>
        <v>303</v>
      </c>
      <c r="O120" s="14">
        <f>SUM(O102:O119)</f>
        <v>333</v>
      </c>
      <c r="P120" s="14">
        <f>SUM(P102:P119)</f>
        <v>762</v>
      </c>
      <c r="Q120" s="14">
        <f>SUM(Q102:Q119)</f>
        <v>314</v>
      </c>
      <c r="R120" s="14">
        <f>SUM(R102:R119)</f>
        <v>346</v>
      </c>
      <c r="S120" s="14">
        <f>SUM(S102:S119)</f>
        <v>516</v>
      </c>
      <c r="T120" s="14">
        <f>SUM(T102:T119)</f>
        <v>1328</v>
      </c>
      <c r="U120" s="14">
        <f>SUM(U102:U119)</f>
        <v>510</v>
      </c>
      <c r="V120" s="14">
        <f>SUM(V102:V119)</f>
        <v>600</v>
      </c>
      <c r="W120" s="14">
        <f>SUM(W102:W119)</f>
        <v>445</v>
      </c>
      <c r="X120" s="14">
        <f>SUM(X102:X119)</f>
        <v>1881</v>
      </c>
      <c r="Y120" s="14">
        <f>SUM(Y102:Y119)</f>
        <v>678</v>
      </c>
      <c r="Z120" s="14">
        <f>SUM(Z102:Z119)</f>
        <v>837</v>
      </c>
      <c r="AA120" s="14">
        <f>SUM(AA102:AA119)</f>
        <v>766</v>
      </c>
      <c r="AC120" s="14">
        <f>SUM(AC102:AC119)</f>
        <v>2504</v>
      </c>
      <c r="AD120" s="14">
        <f>SUM(AD102:AD119)</f>
        <v>2700</v>
      </c>
      <c r="AE120" s="14">
        <f>SUM(AE102:AE119)</f>
        <v>2954</v>
      </c>
      <c r="AF120" s="14">
        <f>SUM(AF102:AF119)</f>
        <v>2883</v>
      </c>
      <c r="AG120" s="14">
        <f>SUM(AG102:AG119)</f>
        <v>3436</v>
      </c>
      <c r="AH120" s="14">
        <f>SUM(AH102:AH119)</f>
        <v>3604</v>
      </c>
      <c r="AI120" s="14">
        <f>SUM(AI102:AI119)</f>
        <v>3841</v>
      </c>
      <c r="AJ120" s="14">
        <f>SUM(AJ102:AJ119)</f>
        <v>4162</v>
      </c>
      <c r="AK120" s="42"/>
      <c r="AL120" s="76">
        <f t="shared" si="500"/>
        <v>0.44363510232396819</v>
      </c>
    </row>
    <row r="121" spans="2:38" ht="12.75" customHeight="1">
      <c r="B121" s="53"/>
      <c r="C121" s="61"/>
      <c r="D121" s="61"/>
      <c r="E121" s="61"/>
      <c r="F121" s="61"/>
      <c r="G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C121" s="42"/>
      <c r="AD121" s="42"/>
      <c r="AE121" s="42"/>
      <c r="AF121" s="42"/>
      <c r="AG121" s="42"/>
      <c r="AH121" s="42"/>
      <c r="AI121" s="42"/>
      <c r="AJ121" s="42"/>
      <c r="AK121" s="42"/>
      <c r="AL121" s="39"/>
    </row>
    <row r="122" spans="2:38" ht="12.75" customHeight="1">
      <c r="B122" s="53" t="s">
        <v>52</v>
      </c>
      <c r="C122" s="58"/>
      <c r="D122" s="58"/>
      <c r="E122" s="58"/>
      <c r="F122" s="58"/>
      <c r="G122" s="58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32"/>
      <c r="U122" s="82"/>
      <c r="V122" s="82"/>
      <c r="W122" s="82"/>
      <c r="X122" s="32"/>
      <c r="Y122" s="58"/>
      <c r="Z122" s="58"/>
      <c r="AA122" s="58"/>
      <c r="AC122" s="58"/>
      <c r="AD122" s="58"/>
      <c r="AE122" s="58"/>
      <c r="AF122" s="58"/>
      <c r="AG122" s="58"/>
      <c r="AH122" s="58"/>
      <c r="AI122" s="58"/>
      <c r="AJ122" s="58"/>
      <c r="AK122" s="59"/>
      <c r="AL122" s="75"/>
    </row>
    <row r="123" spans="2:38" ht="12.75" customHeight="1">
      <c r="B123" s="60" t="s">
        <v>224</v>
      </c>
      <c r="C123" s="82">
        <v>-376</v>
      </c>
      <c r="D123" s="82">
        <v>-554</v>
      </c>
      <c r="E123" s="82">
        <v>-588</v>
      </c>
      <c r="F123" s="82">
        <v>-711</v>
      </c>
      <c r="G123" s="82">
        <v>-790</v>
      </c>
      <c r="H123" s="32"/>
      <c r="I123" s="82"/>
      <c r="J123" s="82"/>
      <c r="K123" s="82"/>
      <c r="L123" s="32">
        <f t="shared" ref="L123:L130" si="562">SUM(D123-SUM(I123:K123))</f>
        <v>-554</v>
      </c>
      <c r="M123" s="82"/>
      <c r="N123" s="82"/>
      <c r="O123" s="82"/>
      <c r="P123" s="32">
        <f t="shared" ref="P123:P130" si="563">SUM(E123-SUM(M123:O123))</f>
        <v>-588</v>
      </c>
      <c r="Q123" s="82"/>
      <c r="R123" s="82"/>
      <c r="S123" s="82"/>
      <c r="T123" s="32">
        <f>SUM(F123-SUM(Q123:S123))</f>
        <v>-711</v>
      </c>
      <c r="U123" s="82"/>
      <c r="V123" s="82"/>
      <c r="W123" s="82"/>
      <c r="X123" s="32">
        <f>SUM(G123-SUM(U123:W123))</f>
        <v>-790</v>
      </c>
      <c r="Y123" s="82"/>
      <c r="Z123" s="82"/>
      <c r="AA123" s="82"/>
      <c r="AB123" s="32"/>
      <c r="AC123" s="32">
        <f t="shared" ref="AC123:AJ130" si="564">SUM(Q123:T123)</f>
        <v>-711</v>
      </c>
      <c r="AD123" s="32">
        <f t="shared" si="564"/>
        <v>-711</v>
      </c>
      <c r="AE123" s="32">
        <f t="shared" si="564"/>
        <v>-711</v>
      </c>
      <c r="AF123" s="32">
        <f t="shared" si="564"/>
        <v>-711</v>
      </c>
      <c r="AG123" s="32">
        <f t="shared" si="564"/>
        <v>-790</v>
      </c>
      <c r="AH123" s="32">
        <f t="shared" si="564"/>
        <v>-790</v>
      </c>
      <c r="AI123" s="32">
        <f t="shared" si="564"/>
        <v>-790</v>
      </c>
      <c r="AJ123" s="32">
        <f t="shared" si="564"/>
        <v>-790</v>
      </c>
      <c r="AK123" s="59"/>
      <c r="AL123" s="75">
        <f t="shared" ref="AL123:AL130" si="565">SUM(AJ123/AF123)-1</f>
        <v>0.11111111111111116</v>
      </c>
    </row>
    <row r="124" spans="2:38" ht="12.75" customHeight="1">
      <c r="B124" s="60" t="s">
        <v>225</v>
      </c>
      <c r="C124" s="82">
        <v>12</v>
      </c>
      <c r="D124" s="82">
        <v>14</v>
      </c>
      <c r="E124" s="82">
        <v>12</v>
      </c>
      <c r="F124" s="82">
        <v>4</v>
      </c>
      <c r="G124" s="82">
        <v>3</v>
      </c>
      <c r="H124" s="32"/>
      <c r="I124" s="82"/>
      <c r="J124" s="82"/>
      <c r="K124" s="82"/>
      <c r="L124" s="32">
        <f t="shared" si="562"/>
        <v>14</v>
      </c>
      <c r="M124" s="82"/>
      <c r="N124" s="82"/>
      <c r="O124" s="82"/>
      <c r="P124" s="32">
        <f t="shared" si="563"/>
        <v>12</v>
      </c>
      <c r="Q124" s="82"/>
      <c r="R124" s="82"/>
      <c r="S124" s="82"/>
      <c r="T124" s="32">
        <f>SUM(F124-SUM(Q124:S124))</f>
        <v>4</v>
      </c>
      <c r="U124" s="82"/>
      <c r="V124" s="82"/>
      <c r="W124" s="82"/>
      <c r="X124" s="32">
        <f>SUM(G124-SUM(U124:W124))</f>
        <v>3</v>
      </c>
      <c r="Y124" s="82"/>
      <c r="Z124" s="82"/>
      <c r="AA124" s="82"/>
      <c r="AB124" s="32"/>
      <c r="AC124" s="32">
        <f t="shared" si="564"/>
        <v>4</v>
      </c>
      <c r="AD124" s="32">
        <f t="shared" si="564"/>
        <v>4</v>
      </c>
      <c r="AE124" s="32">
        <f t="shared" si="564"/>
        <v>4</v>
      </c>
      <c r="AF124" s="32">
        <f t="shared" si="564"/>
        <v>4</v>
      </c>
      <c r="AG124" s="32">
        <f t="shared" si="564"/>
        <v>3</v>
      </c>
      <c r="AH124" s="32">
        <f t="shared" si="564"/>
        <v>3</v>
      </c>
      <c r="AI124" s="32">
        <f t="shared" si="564"/>
        <v>3</v>
      </c>
      <c r="AJ124" s="32">
        <f t="shared" si="564"/>
        <v>3</v>
      </c>
      <c r="AK124" s="59"/>
      <c r="AL124" s="75">
        <f t="shared" si="565"/>
        <v>-0.25</v>
      </c>
    </row>
    <row r="125" spans="2:38" ht="12.75" customHeight="1">
      <c r="B125" s="60" t="s">
        <v>226</v>
      </c>
      <c r="C125" s="82">
        <v>-3</v>
      </c>
      <c r="D125" s="82">
        <v>-2258</v>
      </c>
      <c r="E125" s="82">
        <v>-1542</v>
      </c>
      <c r="F125" s="82">
        <v>-1811</v>
      </c>
      <c r="G125" s="82">
        <v>-4640</v>
      </c>
      <c r="H125" s="32"/>
      <c r="I125" s="82"/>
      <c r="J125" s="82"/>
      <c r="K125" s="82"/>
      <c r="L125" s="32">
        <f t="shared" ref="L125:L126" si="566">SUM(D125-SUM(I125:K125))</f>
        <v>-2258</v>
      </c>
      <c r="M125" s="82"/>
      <c r="N125" s="82"/>
      <c r="O125" s="82"/>
      <c r="P125" s="32">
        <f t="shared" ref="P125:P126" si="567">SUM(E125-SUM(M125:O125))</f>
        <v>-1542</v>
      </c>
      <c r="Q125" s="82"/>
      <c r="R125" s="82"/>
      <c r="S125" s="82"/>
      <c r="T125" s="32">
        <f t="shared" ref="T125:T126" si="568">SUM(F125-SUM(Q125:S125))</f>
        <v>-1811</v>
      </c>
      <c r="U125" s="82"/>
      <c r="V125" s="82"/>
      <c r="W125" s="82"/>
      <c r="X125" s="32">
        <f t="shared" ref="X125:X126" si="569">SUM(G125-SUM(U125:W125))</f>
        <v>-4640</v>
      </c>
      <c r="Y125" s="82"/>
      <c r="Z125" s="82"/>
      <c r="AA125" s="82"/>
      <c r="AB125" s="32"/>
      <c r="AC125" s="32">
        <f t="shared" ref="AC125:AC126" si="570">SUM(Q125:T125)</f>
        <v>-1811</v>
      </c>
      <c r="AD125" s="32">
        <f t="shared" ref="AD125:AD126" si="571">SUM(R125:U125)</f>
        <v>-1811</v>
      </c>
      <c r="AE125" s="32">
        <f t="shared" ref="AE125:AE126" si="572">SUM(S125:V125)</f>
        <v>-1811</v>
      </c>
      <c r="AF125" s="32">
        <f t="shared" ref="AF125:AF126" si="573">SUM(T125:W125)</f>
        <v>-1811</v>
      </c>
      <c r="AG125" s="32">
        <f t="shared" ref="AG125:AG126" si="574">SUM(U125:X125)</f>
        <v>-4640</v>
      </c>
      <c r="AH125" s="32">
        <f t="shared" ref="AH125:AH126" si="575">SUM(V125:Y125)</f>
        <v>-4640</v>
      </c>
      <c r="AI125" s="32">
        <f t="shared" ref="AI125:AI126" si="576">SUM(W125:Z125)</f>
        <v>-4640</v>
      </c>
      <c r="AJ125" s="32">
        <f t="shared" ref="AJ125:AJ126" si="577">SUM(X125:AA125)</f>
        <v>-4640</v>
      </c>
      <c r="AK125" s="59"/>
      <c r="AL125" s="75">
        <f t="shared" ref="AL125:AL126" si="578">SUM(AJ125/AF125)-1</f>
        <v>1.5621203754831585</v>
      </c>
    </row>
    <row r="126" spans="2:38" ht="12.75" customHeight="1">
      <c r="B126" s="60" t="s">
        <v>227</v>
      </c>
      <c r="C126" s="82">
        <v>-146</v>
      </c>
      <c r="D126" s="82">
        <v>279</v>
      </c>
      <c r="E126" s="82">
        <v>-24</v>
      </c>
      <c r="F126" s="82">
        <v>-89</v>
      </c>
      <c r="G126" s="82">
        <v>-240</v>
      </c>
      <c r="H126" s="32"/>
      <c r="I126" s="82"/>
      <c r="J126" s="82"/>
      <c r="K126" s="82"/>
      <c r="L126" s="32">
        <f t="shared" si="566"/>
        <v>279</v>
      </c>
      <c r="M126" s="82"/>
      <c r="N126" s="82"/>
      <c r="O126" s="82"/>
      <c r="P126" s="32">
        <f t="shared" si="567"/>
        <v>-24</v>
      </c>
      <c r="Q126" s="82"/>
      <c r="R126" s="82"/>
      <c r="S126" s="82"/>
      <c r="T126" s="32">
        <f t="shared" si="568"/>
        <v>-89</v>
      </c>
      <c r="U126" s="82"/>
      <c r="V126" s="82"/>
      <c r="W126" s="82"/>
      <c r="X126" s="32">
        <f t="shared" si="569"/>
        <v>-240</v>
      </c>
      <c r="Y126" s="82"/>
      <c r="Z126" s="82"/>
      <c r="AA126" s="82"/>
      <c r="AB126" s="32"/>
      <c r="AC126" s="32">
        <f t="shared" si="570"/>
        <v>-89</v>
      </c>
      <c r="AD126" s="32">
        <f t="shared" si="571"/>
        <v>-89</v>
      </c>
      <c r="AE126" s="32">
        <f t="shared" si="572"/>
        <v>-89</v>
      </c>
      <c r="AF126" s="32">
        <f t="shared" si="573"/>
        <v>-89</v>
      </c>
      <c r="AG126" s="32">
        <f t="shared" si="574"/>
        <v>-240</v>
      </c>
      <c r="AH126" s="32">
        <f t="shared" si="575"/>
        <v>-240</v>
      </c>
      <c r="AI126" s="32">
        <f t="shared" si="576"/>
        <v>-240</v>
      </c>
      <c r="AJ126" s="32">
        <f t="shared" si="577"/>
        <v>-240</v>
      </c>
      <c r="AK126" s="59"/>
      <c r="AL126" s="75">
        <f t="shared" si="578"/>
        <v>1.696629213483146</v>
      </c>
    </row>
    <row r="127" spans="2:38" ht="12.75" customHeight="1">
      <c r="B127" s="60" t="s">
        <v>228</v>
      </c>
      <c r="C127" s="82">
        <v>15</v>
      </c>
      <c r="D127" s="82">
        <v>826</v>
      </c>
      <c r="E127" s="82">
        <v>5</v>
      </c>
      <c r="F127" s="82">
        <v>0</v>
      </c>
      <c r="G127" s="82">
        <v>0</v>
      </c>
      <c r="H127" s="32"/>
      <c r="I127" s="82"/>
      <c r="J127" s="82"/>
      <c r="K127" s="82"/>
      <c r="L127" s="32">
        <f t="shared" si="562"/>
        <v>826</v>
      </c>
      <c r="M127" s="82"/>
      <c r="N127" s="82"/>
      <c r="O127" s="82"/>
      <c r="P127" s="32">
        <f t="shared" si="563"/>
        <v>5</v>
      </c>
      <c r="Q127" s="82"/>
      <c r="R127" s="82"/>
      <c r="S127" s="82"/>
      <c r="T127" s="32">
        <f>SUM(F127-SUM(Q127:S127))</f>
        <v>0</v>
      </c>
      <c r="U127" s="82"/>
      <c r="V127" s="82"/>
      <c r="W127" s="82"/>
      <c r="X127" s="32">
        <f>SUM(G127-SUM(U127:W127))</f>
        <v>0</v>
      </c>
      <c r="Y127" s="82"/>
      <c r="Z127" s="82"/>
      <c r="AA127" s="82"/>
      <c r="AB127" s="32"/>
      <c r="AC127" s="32">
        <f t="shared" si="564"/>
        <v>0</v>
      </c>
      <c r="AD127" s="32">
        <f t="shared" si="564"/>
        <v>0</v>
      </c>
      <c r="AE127" s="32">
        <f t="shared" si="564"/>
        <v>0</v>
      </c>
      <c r="AF127" s="32">
        <f t="shared" si="564"/>
        <v>0</v>
      </c>
      <c r="AG127" s="32">
        <f t="shared" si="564"/>
        <v>0</v>
      </c>
      <c r="AH127" s="32">
        <f t="shared" si="564"/>
        <v>0</v>
      </c>
      <c r="AI127" s="32">
        <f t="shared" si="564"/>
        <v>0</v>
      </c>
      <c r="AJ127" s="32">
        <f t="shared" si="564"/>
        <v>0</v>
      </c>
      <c r="AK127" s="59"/>
      <c r="AL127" s="75" t="e">
        <f t="shared" si="565"/>
        <v>#DIV/0!</v>
      </c>
    </row>
    <row r="128" spans="2:38" ht="12.75" customHeight="1">
      <c r="B128" s="60" t="s">
        <v>229</v>
      </c>
      <c r="C128" s="82">
        <v>87</v>
      </c>
      <c r="D128" s="82">
        <v>82</v>
      </c>
      <c r="E128" s="82">
        <v>70</v>
      </c>
      <c r="F128" s="82">
        <v>30</v>
      </c>
      <c r="G128" s="82">
        <v>20</v>
      </c>
      <c r="H128" s="32"/>
      <c r="I128" s="82"/>
      <c r="J128" s="82"/>
      <c r="K128" s="82"/>
      <c r="L128" s="32">
        <f t="shared" ref="L128:L129" si="579">SUM(D128-SUM(I128:K128))</f>
        <v>82</v>
      </c>
      <c r="M128" s="82"/>
      <c r="N128" s="82"/>
      <c r="O128" s="82"/>
      <c r="P128" s="32">
        <f t="shared" ref="P128:P129" si="580">SUM(E128-SUM(M128:O128))</f>
        <v>70</v>
      </c>
      <c r="Q128" s="82"/>
      <c r="R128" s="82"/>
      <c r="S128" s="82"/>
      <c r="T128" s="32">
        <f t="shared" ref="T128:T129" si="581">SUM(F128-SUM(Q128:S128))</f>
        <v>30</v>
      </c>
      <c r="U128" s="82"/>
      <c r="V128" s="82"/>
      <c r="W128" s="82"/>
      <c r="X128" s="32">
        <f t="shared" ref="X128:X129" si="582">SUM(G128-SUM(U128:W128))</f>
        <v>20</v>
      </c>
      <c r="Y128" s="82"/>
      <c r="Z128" s="82"/>
      <c r="AA128" s="82"/>
      <c r="AB128" s="32"/>
      <c r="AC128" s="32">
        <f t="shared" ref="AC128:AC129" si="583">SUM(Q128:T128)</f>
        <v>30</v>
      </c>
      <c r="AD128" s="32">
        <f t="shared" ref="AD128:AD129" si="584">SUM(R128:U128)</f>
        <v>30</v>
      </c>
      <c r="AE128" s="32">
        <f t="shared" ref="AE128:AE129" si="585">SUM(S128:V128)</f>
        <v>30</v>
      </c>
      <c r="AF128" s="32">
        <f t="shared" ref="AF128:AF129" si="586">SUM(T128:W128)</f>
        <v>30</v>
      </c>
      <c r="AG128" s="32">
        <f t="shared" ref="AG128:AG129" si="587">SUM(U128:X128)</f>
        <v>20</v>
      </c>
      <c r="AH128" s="32">
        <f t="shared" ref="AH128:AH129" si="588">SUM(V128:Y128)</f>
        <v>20</v>
      </c>
      <c r="AI128" s="32">
        <f t="shared" ref="AI128:AI129" si="589">SUM(W128:Z128)</f>
        <v>20</v>
      </c>
      <c r="AJ128" s="32">
        <f t="shared" ref="AJ128:AJ129" si="590">SUM(X128:AA128)</f>
        <v>20</v>
      </c>
      <c r="AK128" s="59"/>
      <c r="AL128" s="75">
        <f t="shared" ref="AL128:AL129" si="591">SUM(AJ128/AF128)-1</f>
        <v>-0.33333333333333337</v>
      </c>
    </row>
    <row r="129" spans="2:38" ht="12.75" customHeight="1">
      <c r="B129" s="60" t="s">
        <v>230</v>
      </c>
      <c r="C129" s="82">
        <v>0</v>
      </c>
      <c r="D129" s="82">
        <v>15</v>
      </c>
      <c r="E129" s="82">
        <v>56</v>
      </c>
      <c r="F129" s="82">
        <v>2</v>
      </c>
      <c r="G129" s="82">
        <v>0</v>
      </c>
      <c r="H129" s="32"/>
      <c r="I129" s="82"/>
      <c r="J129" s="82"/>
      <c r="K129" s="82"/>
      <c r="L129" s="32">
        <f t="shared" si="579"/>
        <v>15</v>
      </c>
      <c r="M129" s="82"/>
      <c r="N129" s="82"/>
      <c r="O129" s="82"/>
      <c r="P129" s="32">
        <f t="shared" si="580"/>
        <v>56</v>
      </c>
      <c r="Q129" s="82"/>
      <c r="R129" s="82"/>
      <c r="S129" s="82"/>
      <c r="T129" s="32">
        <f t="shared" si="581"/>
        <v>2</v>
      </c>
      <c r="U129" s="82"/>
      <c r="V129" s="82"/>
      <c r="W129" s="82"/>
      <c r="X129" s="32">
        <f t="shared" si="582"/>
        <v>0</v>
      </c>
      <c r="Y129" s="82"/>
      <c r="Z129" s="82"/>
      <c r="AA129" s="82"/>
      <c r="AB129" s="32"/>
      <c r="AC129" s="32">
        <f t="shared" si="583"/>
        <v>2</v>
      </c>
      <c r="AD129" s="32">
        <f t="shared" si="584"/>
        <v>2</v>
      </c>
      <c r="AE129" s="32">
        <f t="shared" si="585"/>
        <v>2</v>
      </c>
      <c r="AF129" s="32">
        <f t="shared" si="586"/>
        <v>2</v>
      </c>
      <c r="AG129" s="32">
        <f t="shared" si="587"/>
        <v>0</v>
      </c>
      <c r="AH129" s="32">
        <f t="shared" si="588"/>
        <v>0</v>
      </c>
      <c r="AI129" s="32">
        <f t="shared" si="589"/>
        <v>0</v>
      </c>
      <c r="AJ129" s="32">
        <f t="shared" si="590"/>
        <v>0</v>
      </c>
      <c r="AK129" s="59"/>
      <c r="AL129" s="75">
        <f t="shared" si="591"/>
        <v>-1</v>
      </c>
    </row>
    <row r="130" spans="2:38" ht="12.75" customHeight="1">
      <c r="B130" s="60" t="s">
        <v>136</v>
      </c>
      <c r="C130" s="82">
        <v>0</v>
      </c>
      <c r="D130" s="82">
        <v>0</v>
      </c>
      <c r="E130" s="82">
        <v>0</v>
      </c>
      <c r="F130" s="82">
        <v>0</v>
      </c>
      <c r="G130" s="82">
        <v>0</v>
      </c>
      <c r="H130" s="32"/>
      <c r="I130" s="82"/>
      <c r="J130" s="82"/>
      <c r="K130" s="82"/>
      <c r="L130" s="32">
        <f t="shared" si="562"/>
        <v>0</v>
      </c>
      <c r="M130" s="82"/>
      <c r="N130" s="82"/>
      <c r="O130" s="82"/>
      <c r="P130" s="32">
        <f t="shared" si="563"/>
        <v>0</v>
      </c>
      <c r="Q130" s="82"/>
      <c r="R130" s="82"/>
      <c r="S130" s="82"/>
      <c r="T130" s="32">
        <f>SUM(F130-SUM(Q130:S130))</f>
        <v>0</v>
      </c>
      <c r="U130" s="82"/>
      <c r="V130" s="82"/>
      <c r="W130" s="82"/>
      <c r="X130" s="32">
        <f>SUM(G130-SUM(U130:W130))</f>
        <v>0</v>
      </c>
      <c r="Y130" s="82"/>
      <c r="Z130" s="82"/>
      <c r="AA130" s="82"/>
      <c r="AB130" s="32"/>
      <c r="AC130" s="32">
        <f t="shared" si="564"/>
        <v>0</v>
      </c>
      <c r="AD130" s="32">
        <f t="shared" si="564"/>
        <v>0</v>
      </c>
      <c r="AE130" s="32">
        <f t="shared" si="564"/>
        <v>0</v>
      </c>
      <c r="AF130" s="32">
        <f t="shared" si="564"/>
        <v>0</v>
      </c>
      <c r="AG130" s="32">
        <f t="shared" si="564"/>
        <v>0</v>
      </c>
      <c r="AH130" s="32">
        <f t="shared" si="564"/>
        <v>0</v>
      </c>
      <c r="AI130" s="32">
        <f t="shared" si="564"/>
        <v>0</v>
      </c>
      <c r="AJ130" s="32">
        <f t="shared" si="564"/>
        <v>0</v>
      </c>
      <c r="AK130" s="59"/>
      <c r="AL130" s="75" t="e">
        <f t="shared" si="565"/>
        <v>#DIV/0!</v>
      </c>
    </row>
    <row r="131" spans="2:38" ht="12.75" customHeight="1">
      <c r="B131" s="13" t="s">
        <v>53</v>
      </c>
      <c r="C131" s="14">
        <f>SUM(C123:C130)</f>
        <v>-411</v>
      </c>
      <c r="D131" s="14">
        <f>SUM(D123:D130)</f>
        <v>-1596</v>
      </c>
      <c r="E131" s="14">
        <f>SUM(E123:E130)</f>
        <v>-2011</v>
      </c>
      <c r="F131" s="14">
        <f>SUM(F123:F130)</f>
        <v>-2575</v>
      </c>
      <c r="G131" s="14">
        <f>SUM(G123:G130)</f>
        <v>-5647</v>
      </c>
      <c r="I131" s="14">
        <f>SUM(I123:I130)</f>
        <v>0</v>
      </c>
      <c r="J131" s="14">
        <f>SUM(J123:J130)</f>
        <v>0</v>
      </c>
      <c r="K131" s="14">
        <f>SUM(K123:K130)</f>
        <v>0</v>
      </c>
      <c r="L131" s="14">
        <f>SUM(L123:L130)</f>
        <v>-1596</v>
      </c>
      <c r="M131" s="14">
        <f>SUM(M123:M130)</f>
        <v>0</v>
      </c>
      <c r="N131" s="14">
        <f>SUM(N123:N130)</f>
        <v>0</v>
      </c>
      <c r="O131" s="14">
        <f>SUM(O123:O130)</f>
        <v>0</v>
      </c>
      <c r="P131" s="14">
        <f>SUM(P123:P130)</f>
        <v>-2011</v>
      </c>
      <c r="Q131" s="14">
        <f>SUM(Q123:Q130)</f>
        <v>0</v>
      </c>
      <c r="R131" s="14">
        <f>SUM(R123:R130)</f>
        <v>0</v>
      </c>
      <c r="S131" s="14">
        <f>SUM(S123:S130)</f>
        <v>0</v>
      </c>
      <c r="T131" s="14">
        <f>SUM(T123:T130)</f>
        <v>-2575</v>
      </c>
      <c r="U131" s="14">
        <f>SUM(U123:U130)</f>
        <v>0</v>
      </c>
      <c r="V131" s="14">
        <f>SUM(V123:V130)</f>
        <v>0</v>
      </c>
      <c r="W131" s="14">
        <f>SUM(W123:W130)</f>
        <v>0</v>
      </c>
      <c r="X131" s="14">
        <f>SUM(X123:X130)</f>
        <v>-5647</v>
      </c>
      <c r="Y131" s="14">
        <f>SUM(Y123:Y130)</f>
        <v>0</v>
      </c>
      <c r="Z131" s="14">
        <f>SUM(Z123:Z130)</f>
        <v>0</v>
      </c>
      <c r="AA131" s="14">
        <f>SUM(AA123:AA130)</f>
        <v>0</v>
      </c>
      <c r="AC131" s="14">
        <f t="shared" ref="AC131:AJ131" si="592">SUM(AC130:AC130)</f>
        <v>0</v>
      </c>
      <c r="AD131" s="14">
        <f t="shared" si="592"/>
        <v>0</v>
      </c>
      <c r="AE131" s="14">
        <f t="shared" si="592"/>
        <v>0</v>
      </c>
      <c r="AF131" s="14">
        <f t="shared" si="592"/>
        <v>0</v>
      </c>
      <c r="AG131" s="14">
        <f t="shared" si="592"/>
        <v>0</v>
      </c>
      <c r="AH131" s="14">
        <f t="shared" si="592"/>
        <v>0</v>
      </c>
      <c r="AI131" s="14">
        <f t="shared" si="592"/>
        <v>0</v>
      </c>
      <c r="AJ131" s="14">
        <f t="shared" si="592"/>
        <v>0</v>
      </c>
      <c r="AK131" s="42"/>
      <c r="AL131" s="76" t="e">
        <f t="shared" ref="AL131:AL151" si="593">SUM(AJ131/AF131)-1</f>
        <v>#DIV/0!</v>
      </c>
    </row>
    <row r="132" spans="2:38" ht="5.0999999999999996" customHeight="1">
      <c r="B132" s="52"/>
      <c r="C132" s="61"/>
      <c r="D132" s="61"/>
      <c r="E132" s="61"/>
      <c r="F132" s="61"/>
      <c r="G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C132" s="42"/>
      <c r="AD132" s="42"/>
      <c r="AE132" s="42"/>
      <c r="AF132" s="42"/>
      <c r="AG132" s="42"/>
      <c r="AH132" s="42"/>
      <c r="AI132" s="42"/>
      <c r="AJ132" s="42"/>
      <c r="AK132" s="42"/>
      <c r="AL132" s="39"/>
    </row>
    <row r="133" spans="2:38" ht="12.75" customHeight="1">
      <c r="B133" s="53" t="s">
        <v>54</v>
      </c>
      <c r="C133" s="63"/>
      <c r="D133" s="63"/>
      <c r="E133" s="63"/>
      <c r="F133" s="63"/>
      <c r="G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32"/>
      <c r="AC133" s="32"/>
      <c r="AD133" s="32"/>
      <c r="AE133" s="32"/>
      <c r="AF133" s="32"/>
      <c r="AG133" s="32"/>
      <c r="AH133" s="32"/>
      <c r="AI133" s="32"/>
      <c r="AJ133" s="32"/>
      <c r="AK133" s="64"/>
      <c r="AL133" s="75"/>
    </row>
    <row r="134" spans="2:38" ht="12.75" customHeight="1">
      <c r="B134" s="84" t="s">
        <v>231</v>
      </c>
      <c r="C134" s="82">
        <v>-49</v>
      </c>
      <c r="D134" s="82">
        <v>-15</v>
      </c>
      <c r="E134" s="82">
        <v>-335</v>
      </c>
      <c r="F134" s="82">
        <v>-39</v>
      </c>
      <c r="G134" s="82">
        <v>-131</v>
      </c>
      <c r="I134" s="82"/>
      <c r="J134" s="82"/>
      <c r="K134" s="82"/>
      <c r="L134" s="32">
        <f t="shared" ref="L134:L150" si="594">SUM(D134-SUM(I134:K134))</f>
        <v>-15</v>
      </c>
      <c r="M134" s="82"/>
      <c r="N134" s="82"/>
      <c r="O134" s="82"/>
      <c r="P134" s="32">
        <f t="shared" ref="P134:P150" si="595">SUM(E134-SUM(M134:O134))</f>
        <v>-335</v>
      </c>
      <c r="Q134" s="82"/>
      <c r="R134" s="82"/>
      <c r="S134" s="82"/>
      <c r="T134" s="32">
        <f>SUM(F134-SUM(Q134:S134))</f>
        <v>-39</v>
      </c>
      <c r="U134" s="82"/>
      <c r="V134" s="82"/>
      <c r="W134" s="82"/>
      <c r="X134" s="32">
        <f>SUM(G134-SUM(U134:W134))</f>
        <v>-131</v>
      </c>
      <c r="Y134" s="82"/>
      <c r="Z134" s="82"/>
      <c r="AA134" s="82"/>
      <c r="AB134" s="32"/>
      <c r="AC134" s="32">
        <f t="shared" ref="AC134:AJ150" si="596">SUM(Q134:T134)</f>
        <v>-39</v>
      </c>
      <c r="AD134" s="32">
        <f t="shared" si="596"/>
        <v>-39</v>
      </c>
      <c r="AE134" s="32">
        <f t="shared" si="596"/>
        <v>-39</v>
      </c>
      <c r="AF134" s="32">
        <f t="shared" si="596"/>
        <v>-39</v>
      </c>
      <c r="AG134" s="32">
        <f t="shared" si="596"/>
        <v>-131</v>
      </c>
      <c r="AH134" s="32">
        <f t="shared" si="596"/>
        <v>-131</v>
      </c>
      <c r="AI134" s="32">
        <f t="shared" si="596"/>
        <v>-131</v>
      </c>
      <c r="AJ134" s="32">
        <f t="shared" si="596"/>
        <v>-131</v>
      </c>
      <c r="AK134" s="64"/>
      <c r="AL134" s="75">
        <f t="shared" si="593"/>
        <v>2.358974358974359</v>
      </c>
    </row>
    <row r="135" spans="2:38" ht="12.75" customHeight="1">
      <c r="B135" s="84" t="s">
        <v>232</v>
      </c>
      <c r="C135" s="82">
        <v>-97</v>
      </c>
      <c r="D135" s="82">
        <v>-85</v>
      </c>
      <c r="E135" s="82">
        <v>-75</v>
      </c>
      <c r="F135" s="82">
        <v>-50</v>
      </c>
      <c r="G135" s="82">
        <v>-26</v>
      </c>
      <c r="I135" s="82"/>
      <c r="J135" s="82"/>
      <c r="K135" s="82"/>
      <c r="L135" s="32">
        <f t="shared" si="594"/>
        <v>-85</v>
      </c>
      <c r="M135" s="82"/>
      <c r="N135" s="82"/>
      <c r="O135" s="82"/>
      <c r="P135" s="32">
        <f t="shared" si="595"/>
        <v>-75</v>
      </c>
      <c r="Q135" s="82"/>
      <c r="R135" s="82"/>
      <c r="S135" s="82"/>
      <c r="T135" s="32">
        <f>SUM(F135-SUM(Q135:S135))</f>
        <v>-50</v>
      </c>
      <c r="U135" s="82"/>
      <c r="V135" s="82"/>
      <c r="W135" s="82"/>
      <c r="X135" s="32">
        <f>SUM(G135-SUM(U135:W135))</f>
        <v>-26</v>
      </c>
      <c r="Y135" s="82"/>
      <c r="Z135" s="82"/>
      <c r="AA135" s="82"/>
      <c r="AB135" s="32"/>
      <c r="AC135" s="32">
        <f t="shared" si="596"/>
        <v>-50</v>
      </c>
      <c r="AD135" s="32">
        <f t="shared" si="596"/>
        <v>-50</v>
      </c>
      <c r="AE135" s="32">
        <f t="shared" si="596"/>
        <v>-50</v>
      </c>
      <c r="AF135" s="32">
        <f t="shared" si="596"/>
        <v>-50</v>
      </c>
      <c r="AG135" s="32">
        <f t="shared" si="596"/>
        <v>-26</v>
      </c>
      <c r="AH135" s="32">
        <f t="shared" si="596"/>
        <v>-26</v>
      </c>
      <c r="AI135" s="32">
        <f t="shared" si="596"/>
        <v>-26</v>
      </c>
      <c r="AJ135" s="32">
        <f t="shared" si="596"/>
        <v>-26</v>
      </c>
      <c r="AK135" s="64"/>
      <c r="AL135" s="75">
        <f t="shared" ref="AL135:AL150" si="597">SUM(AJ135/AF135)-1</f>
        <v>-0.48</v>
      </c>
    </row>
    <row r="136" spans="2:38" ht="12.75" customHeight="1">
      <c r="B136" s="84" t="s">
        <v>233</v>
      </c>
      <c r="C136" s="82">
        <v>0</v>
      </c>
      <c r="D136" s="82">
        <v>0</v>
      </c>
      <c r="E136" s="82">
        <v>0</v>
      </c>
      <c r="F136" s="82">
        <v>0</v>
      </c>
      <c r="G136" s="82">
        <v>-25</v>
      </c>
      <c r="I136" s="82"/>
      <c r="J136" s="82"/>
      <c r="K136" s="82"/>
      <c r="L136" s="32">
        <f t="shared" si="594"/>
        <v>0</v>
      </c>
      <c r="M136" s="82"/>
      <c r="N136" s="82"/>
      <c r="O136" s="82"/>
      <c r="P136" s="32">
        <f t="shared" si="595"/>
        <v>0</v>
      </c>
      <c r="Q136" s="82"/>
      <c r="R136" s="82"/>
      <c r="S136" s="82"/>
      <c r="T136" s="32">
        <f t="shared" ref="T136:T150" si="598">SUM(F136-SUM(Q136:S136))</f>
        <v>0</v>
      </c>
      <c r="U136" s="82"/>
      <c r="V136" s="82"/>
      <c r="W136" s="82"/>
      <c r="X136" s="32">
        <f t="shared" ref="X136:X150" si="599">SUM(G136-SUM(U136:W136))</f>
        <v>-25</v>
      </c>
      <c r="Y136" s="82"/>
      <c r="Z136" s="82"/>
      <c r="AA136" s="82"/>
      <c r="AB136" s="32"/>
      <c r="AC136" s="32">
        <f t="shared" ref="AC136:AC149" si="600">SUM(Q136:T136)</f>
        <v>0</v>
      </c>
      <c r="AD136" s="32">
        <f t="shared" ref="AD136:AD149" si="601">SUM(R136:U136)</f>
        <v>0</v>
      </c>
      <c r="AE136" s="32">
        <f t="shared" ref="AE136:AE149" si="602">SUM(S136:V136)</f>
        <v>0</v>
      </c>
      <c r="AF136" s="32">
        <f t="shared" ref="AF136:AF149" si="603">SUM(T136:W136)</f>
        <v>0</v>
      </c>
      <c r="AG136" s="32">
        <f t="shared" ref="AG136:AG149" si="604">SUM(U136:X136)</f>
        <v>-25</v>
      </c>
      <c r="AH136" s="32">
        <f t="shared" ref="AH136:AH149" si="605">SUM(V136:Y136)</f>
        <v>-25</v>
      </c>
      <c r="AI136" s="32">
        <f t="shared" ref="AI136:AI149" si="606">SUM(W136:Z136)</f>
        <v>-25</v>
      </c>
      <c r="AJ136" s="32">
        <f t="shared" ref="AJ136:AJ149" si="607">SUM(X136:AA136)</f>
        <v>-25</v>
      </c>
      <c r="AK136" s="64"/>
      <c r="AL136" s="75" t="e">
        <f t="shared" si="597"/>
        <v>#DIV/0!</v>
      </c>
    </row>
    <row r="137" spans="2:38" ht="12.75" customHeight="1">
      <c r="B137" s="84" t="s">
        <v>234</v>
      </c>
      <c r="C137" s="82">
        <v>-2950</v>
      </c>
      <c r="D137" s="82">
        <v>0</v>
      </c>
      <c r="E137" s="82">
        <v>-250</v>
      </c>
      <c r="F137" s="82">
        <v>0</v>
      </c>
      <c r="G137" s="82">
        <v>-504</v>
      </c>
      <c r="I137" s="82"/>
      <c r="J137" s="82"/>
      <c r="K137" s="82"/>
      <c r="L137" s="32">
        <f t="shared" si="594"/>
        <v>0</v>
      </c>
      <c r="M137" s="82"/>
      <c r="N137" s="82"/>
      <c r="O137" s="82"/>
      <c r="P137" s="32">
        <f t="shared" si="595"/>
        <v>-250</v>
      </c>
      <c r="Q137" s="82"/>
      <c r="R137" s="82"/>
      <c r="S137" s="82"/>
      <c r="T137" s="32">
        <f t="shared" si="598"/>
        <v>0</v>
      </c>
      <c r="U137" s="82"/>
      <c r="V137" s="82"/>
      <c r="W137" s="82"/>
      <c r="X137" s="32">
        <f t="shared" si="599"/>
        <v>-504</v>
      </c>
      <c r="Y137" s="82"/>
      <c r="Z137" s="82"/>
      <c r="AA137" s="82"/>
      <c r="AB137" s="32"/>
      <c r="AC137" s="32">
        <f t="shared" si="600"/>
        <v>0</v>
      </c>
      <c r="AD137" s="32">
        <f t="shared" si="601"/>
        <v>0</v>
      </c>
      <c r="AE137" s="32">
        <f t="shared" si="602"/>
        <v>0</v>
      </c>
      <c r="AF137" s="32">
        <f t="shared" si="603"/>
        <v>0</v>
      </c>
      <c r="AG137" s="32">
        <f t="shared" si="604"/>
        <v>-504</v>
      </c>
      <c r="AH137" s="32">
        <f t="shared" si="605"/>
        <v>-504</v>
      </c>
      <c r="AI137" s="32">
        <f t="shared" si="606"/>
        <v>-504</v>
      </c>
      <c r="AJ137" s="32">
        <f t="shared" si="607"/>
        <v>-504</v>
      </c>
      <c r="AK137" s="64"/>
      <c r="AL137" s="75" t="e">
        <f t="shared" si="597"/>
        <v>#DIV/0!</v>
      </c>
    </row>
    <row r="138" spans="2:38" ht="12.75" customHeight="1">
      <c r="B138" s="84" t="s">
        <v>235</v>
      </c>
      <c r="C138" s="82">
        <v>2245</v>
      </c>
      <c r="D138" s="82">
        <v>0</v>
      </c>
      <c r="E138" s="82">
        <v>0</v>
      </c>
      <c r="F138" s="82">
        <v>0</v>
      </c>
      <c r="G138" s="82">
        <v>24</v>
      </c>
      <c r="I138" s="82"/>
      <c r="J138" s="82"/>
      <c r="K138" s="82"/>
      <c r="L138" s="32">
        <f t="shared" si="594"/>
        <v>0</v>
      </c>
      <c r="M138" s="82"/>
      <c r="N138" s="82"/>
      <c r="O138" s="82"/>
      <c r="P138" s="32">
        <f t="shared" si="595"/>
        <v>0</v>
      </c>
      <c r="Q138" s="82"/>
      <c r="R138" s="82"/>
      <c r="S138" s="82"/>
      <c r="T138" s="32">
        <f t="shared" si="598"/>
        <v>0</v>
      </c>
      <c r="U138" s="82"/>
      <c r="V138" s="82"/>
      <c r="W138" s="82"/>
      <c r="X138" s="32">
        <f t="shared" si="599"/>
        <v>24</v>
      </c>
      <c r="Y138" s="82"/>
      <c r="Z138" s="82"/>
      <c r="AA138" s="82"/>
      <c r="AB138" s="32"/>
      <c r="AC138" s="32">
        <f t="shared" si="600"/>
        <v>0</v>
      </c>
      <c r="AD138" s="32">
        <f t="shared" si="601"/>
        <v>0</v>
      </c>
      <c r="AE138" s="32">
        <f t="shared" si="602"/>
        <v>0</v>
      </c>
      <c r="AF138" s="32">
        <f t="shared" si="603"/>
        <v>0</v>
      </c>
      <c r="AG138" s="32">
        <f t="shared" si="604"/>
        <v>24</v>
      </c>
      <c r="AH138" s="32">
        <f t="shared" si="605"/>
        <v>24</v>
      </c>
      <c r="AI138" s="32">
        <f t="shared" si="606"/>
        <v>24</v>
      </c>
      <c r="AJ138" s="32">
        <f t="shared" si="607"/>
        <v>24</v>
      </c>
      <c r="AK138" s="64"/>
      <c r="AL138" s="75" t="e">
        <f t="shared" si="597"/>
        <v>#DIV/0!</v>
      </c>
    </row>
    <row r="139" spans="2:38" ht="12.75" customHeight="1">
      <c r="B139" s="84" t="s">
        <v>236</v>
      </c>
      <c r="C139" s="82">
        <v>-714</v>
      </c>
      <c r="D139" s="82">
        <v>0</v>
      </c>
      <c r="E139" s="82">
        <v>-1</v>
      </c>
      <c r="F139" s="82">
        <v>-4</v>
      </c>
      <c r="G139" s="82">
        <v>187</v>
      </c>
      <c r="I139" s="82"/>
      <c r="J139" s="82"/>
      <c r="K139" s="82"/>
      <c r="L139" s="32">
        <f t="shared" si="594"/>
        <v>0</v>
      </c>
      <c r="M139" s="82"/>
      <c r="N139" s="82"/>
      <c r="O139" s="82"/>
      <c r="P139" s="32">
        <f t="shared" si="595"/>
        <v>-1</v>
      </c>
      <c r="Q139" s="82"/>
      <c r="R139" s="82"/>
      <c r="S139" s="82"/>
      <c r="T139" s="32">
        <f t="shared" si="598"/>
        <v>-4</v>
      </c>
      <c r="U139" s="82"/>
      <c r="V139" s="82"/>
      <c r="W139" s="82"/>
      <c r="X139" s="32">
        <f t="shared" si="599"/>
        <v>187</v>
      </c>
      <c r="Y139" s="82"/>
      <c r="Z139" s="82"/>
      <c r="AA139" s="82"/>
      <c r="AB139" s="32"/>
      <c r="AC139" s="32">
        <f t="shared" si="600"/>
        <v>-4</v>
      </c>
      <c r="AD139" s="32">
        <f t="shared" si="601"/>
        <v>-4</v>
      </c>
      <c r="AE139" s="32">
        <f t="shared" si="602"/>
        <v>-4</v>
      </c>
      <c r="AF139" s="32">
        <f t="shared" si="603"/>
        <v>-4</v>
      </c>
      <c r="AG139" s="32">
        <f t="shared" si="604"/>
        <v>187</v>
      </c>
      <c r="AH139" s="32">
        <f t="shared" si="605"/>
        <v>187</v>
      </c>
      <c r="AI139" s="32">
        <f t="shared" si="606"/>
        <v>187</v>
      </c>
      <c r="AJ139" s="32">
        <f t="shared" si="607"/>
        <v>187</v>
      </c>
      <c r="AK139" s="64"/>
      <c r="AL139" s="75">
        <f t="shared" si="597"/>
        <v>-47.75</v>
      </c>
    </row>
    <row r="140" spans="2:38" ht="12.75" customHeight="1">
      <c r="B140" s="84" t="s">
        <v>246</v>
      </c>
      <c r="C140" s="82">
        <v>-1919</v>
      </c>
      <c r="D140" s="82">
        <v>0</v>
      </c>
      <c r="E140" s="82">
        <v>0</v>
      </c>
      <c r="F140" s="82">
        <v>0</v>
      </c>
      <c r="G140" s="82">
        <v>0</v>
      </c>
      <c r="I140" s="82"/>
      <c r="J140" s="82"/>
      <c r="K140" s="82"/>
      <c r="L140" s="32">
        <f t="shared" si="594"/>
        <v>0</v>
      </c>
      <c r="M140" s="82"/>
      <c r="N140" s="82"/>
      <c r="O140" s="82"/>
      <c r="P140" s="32">
        <f t="shared" si="595"/>
        <v>0</v>
      </c>
      <c r="Q140" s="82"/>
      <c r="R140" s="82"/>
      <c r="S140" s="82"/>
      <c r="T140" s="32">
        <f t="shared" si="598"/>
        <v>0</v>
      </c>
      <c r="U140" s="82"/>
      <c r="V140" s="82"/>
      <c r="W140" s="82"/>
      <c r="X140" s="32">
        <f t="shared" si="599"/>
        <v>0</v>
      </c>
      <c r="Y140" s="82"/>
      <c r="Z140" s="82"/>
      <c r="AA140" s="82"/>
      <c r="AB140" s="32"/>
      <c r="AC140" s="32">
        <f t="shared" ref="AC140:AC141" si="608">SUM(Q140:T140)</f>
        <v>0</v>
      </c>
      <c r="AD140" s="32">
        <f t="shared" ref="AD140:AD141" si="609">SUM(R140:U140)</f>
        <v>0</v>
      </c>
      <c r="AE140" s="32">
        <f t="shared" ref="AE140:AE141" si="610">SUM(S140:V140)</f>
        <v>0</v>
      </c>
      <c r="AF140" s="32">
        <f t="shared" ref="AF140:AF141" si="611">SUM(T140:W140)</f>
        <v>0</v>
      </c>
      <c r="AG140" s="32">
        <f t="shared" ref="AG140:AG141" si="612">SUM(U140:X140)</f>
        <v>0</v>
      </c>
      <c r="AH140" s="32">
        <f t="shared" ref="AH140:AH141" si="613">SUM(V140:Y140)</f>
        <v>0</v>
      </c>
      <c r="AI140" s="32">
        <f t="shared" ref="AI140:AI141" si="614">SUM(W140:Z140)</f>
        <v>0</v>
      </c>
      <c r="AJ140" s="32">
        <f t="shared" ref="AJ140:AJ141" si="615">SUM(X140:AA140)</f>
        <v>0</v>
      </c>
      <c r="AK140" s="64"/>
      <c r="AL140" s="75"/>
    </row>
    <row r="141" spans="2:38" ht="12.75" customHeight="1">
      <c r="B141" s="84" t="s">
        <v>247</v>
      </c>
      <c r="C141" s="82">
        <v>1916</v>
      </c>
      <c r="D141" s="82">
        <v>0</v>
      </c>
      <c r="E141" s="82">
        <v>0</v>
      </c>
      <c r="F141" s="82">
        <v>0</v>
      </c>
      <c r="G141" s="82">
        <v>0</v>
      </c>
      <c r="I141" s="82"/>
      <c r="J141" s="82"/>
      <c r="K141" s="82"/>
      <c r="L141" s="32">
        <f t="shared" si="594"/>
        <v>0</v>
      </c>
      <c r="M141" s="82"/>
      <c r="N141" s="82"/>
      <c r="O141" s="82"/>
      <c r="P141" s="32">
        <f t="shared" si="595"/>
        <v>0</v>
      </c>
      <c r="Q141" s="82"/>
      <c r="R141" s="82"/>
      <c r="S141" s="82"/>
      <c r="T141" s="32">
        <f t="shared" si="598"/>
        <v>0</v>
      </c>
      <c r="U141" s="82"/>
      <c r="V141" s="82"/>
      <c r="W141" s="82"/>
      <c r="X141" s="32">
        <f t="shared" si="599"/>
        <v>0</v>
      </c>
      <c r="Y141" s="82"/>
      <c r="Z141" s="82"/>
      <c r="AA141" s="82"/>
      <c r="AB141" s="32"/>
      <c r="AC141" s="32">
        <f t="shared" si="608"/>
        <v>0</v>
      </c>
      <c r="AD141" s="32">
        <f t="shared" si="609"/>
        <v>0</v>
      </c>
      <c r="AE141" s="32">
        <f t="shared" si="610"/>
        <v>0</v>
      </c>
      <c r="AF141" s="32">
        <f t="shared" si="611"/>
        <v>0</v>
      </c>
      <c r="AG141" s="32">
        <f t="shared" si="612"/>
        <v>0</v>
      </c>
      <c r="AH141" s="32">
        <f t="shared" si="613"/>
        <v>0</v>
      </c>
      <c r="AI141" s="32">
        <f t="shared" si="614"/>
        <v>0</v>
      </c>
      <c r="AJ141" s="32">
        <f t="shared" si="615"/>
        <v>0</v>
      </c>
      <c r="AK141" s="64"/>
      <c r="AL141" s="75"/>
    </row>
    <row r="142" spans="2:38" ht="12.75" customHeight="1">
      <c r="B142" s="84" t="s">
        <v>237</v>
      </c>
      <c r="C142" s="82">
        <v>-1260</v>
      </c>
      <c r="D142" s="82">
        <v>0</v>
      </c>
      <c r="E142" s="82">
        <v>-3184</v>
      </c>
      <c r="F142" s="82">
        <v>0</v>
      </c>
      <c r="G142" s="82">
        <v>0</v>
      </c>
      <c r="I142" s="82"/>
      <c r="J142" s="82"/>
      <c r="K142" s="82"/>
      <c r="L142" s="32">
        <f t="shared" si="594"/>
        <v>0</v>
      </c>
      <c r="M142" s="82"/>
      <c r="N142" s="82"/>
      <c r="O142" s="82"/>
      <c r="P142" s="32">
        <f t="shared" si="595"/>
        <v>-3184</v>
      </c>
      <c r="Q142" s="82"/>
      <c r="R142" s="82"/>
      <c r="S142" s="82"/>
      <c r="T142" s="32">
        <f t="shared" si="598"/>
        <v>0</v>
      </c>
      <c r="U142" s="82"/>
      <c r="V142" s="82"/>
      <c r="W142" s="82"/>
      <c r="X142" s="32">
        <f t="shared" si="599"/>
        <v>0</v>
      </c>
      <c r="Y142" s="82"/>
      <c r="Z142" s="82"/>
      <c r="AA142" s="82"/>
      <c r="AB142" s="32"/>
      <c r="AC142" s="32">
        <f t="shared" si="600"/>
        <v>0</v>
      </c>
      <c r="AD142" s="32">
        <f t="shared" si="601"/>
        <v>0</v>
      </c>
      <c r="AE142" s="32">
        <f t="shared" si="602"/>
        <v>0</v>
      </c>
      <c r="AF142" s="32">
        <f t="shared" si="603"/>
        <v>0</v>
      </c>
      <c r="AG142" s="32">
        <f t="shared" si="604"/>
        <v>0</v>
      </c>
      <c r="AH142" s="32">
        <f t="shared" si="605"/>
        <v>0</v>
      </c>
      <c r="AI142" s="32">
        <f t="shared" si="606"/>
        <v>0</v>
      </c>
      <c r="AJ142" s="32">
        <f t="shared" si="607"/>
        <v>0</v>
      </c>
      <c r="AK142" s="64"/>
      <c r="AL142" s="75" t="e">
        <f t="shared" si="597"/>
        <v>#DIV/0!</v>
      </c>
    </row>
    <row r="143" spans="2:38" ht="12.75" customHeight="1">
      <c r="B143" s="84" t="s">
        <v>238</v>
      </c>
      <c r="C143" s="82">
        <v>1683</v>
      </c>
      <c r="D143" s="82">
        <v>0</v>
      </c>
      <c r="E143" s="82">
        <v>3270</v>
      </c>
      <c r="F143" s="82">
        <v>0</v>
      </c>
      <c r="G143" s="82">
        <v>2145</v>
      </c>
      <c r="I143" s="82"/>
      <c r="J143" s="82"/>
      <c r="K143" s="82"/>
      <c r="L143" s="32">
        <f t="shared" si="594"/>
        <v>0</v>
      </c>
      <c r="M143" s="82"/>
      <c r="N143" s="82"/>
      <c r="O143" s="82"/>
      <c r="P143" s="32">
        <f t="shared" si="595"/>
        <v>3270</v>
      </c>
      <c r="Q143" s="82"/>
      <c r="R143" s="82"/>
      <c r="S143" s="82"/>
      <c r="T143" s="32">
        <f t="shared" si="598"/>
        <v>0</v>
      </c>
      <c r="U143" s="82"/>
      <c r="V143" s="82"/>
      <c r="W143" s="82"/>
      <c r="X143" s="32">
        <f t="shared" si="599"/>
        <v>2145</v>
      </c>
      <c r="Y143" s="82"/>
      <c r="Z143" s="82"/>
      <c r="AA143" s="82"/>
      <c r="AB143" s="32"/>
      <c r="AC143" s="32">
        <f t="shared" si="600"/>
        <v>0</v>
      </c>
      <c r="AD143" s="32">
        <f t="shared" si="601"/>
        <v>0</v>
      </c>
      <c r="AE143" s="32">
        <f t="shared" si="602"/>
        <v>0</v>
      </c>
      <c r="AF143" s="32">
        <f t="shared" si="603"/>
        <v>0</v>
      </c>
      <c r="AG143" s="32">
        <f t="shared" si="604"/>
        <v>2145</v>
      </c>
      <c r="AH143" s="32">
        <f t="shared" si="605"/>
        <v>2145</v>
      </c>
      <c r="AI143" s="32">
        <f t="shared" si="606"/>
        <v>2145</v>
      </c>
      <c r="AJ143" s="32">
        <f t="shared" si="607"/>
        <v>2145</v>
      </c>
      <c r="AK143" s="64"/>
      <c r="AL143" s="75" t="e">
        <f t="shared" si="597"/>
        <v>#DIV/0!</v>
      </c>
    </row>
    <row r="144" spans="2:38" ht="12.75" customHeight="1">
      <c r="B144" s="84" t="s">
        <v>239</v>
      </c>
      <c r="C144" s="82">
        <v>-28</v>
      </c>
      <c r="D144" s="82">
        <v>-55</v>
      </c>
      <c r="E144" s="82">
        <v>-55</v>
      </c>
      <c r="F144" s="82">
        <v>-28</v>
      </c>
      <c r="G144" s="82">
        <v>0</v>
      </c>
      <c r="I144" s="82"/>
      <c r="J144" s="82"/>
      <c r="K144" s="82"/>
      <c r="L144" s="32">
        <f t="shared" si="594"/>
        <v>-55</v>
      </c>
      <c r="M144" s="82"/>
      <c r="N144" s="82"/>
      <c r="O144" s="82"/>
      <c r="P144" s="32">
        <f t="shared" si="595"/>
        <v>-55</v>
      </c>
      <c r="Q144" s="82"/>
      <c r="R144" s="82"/>
      <c r="S144" s="82"/>
      <c r="T144" s="32">
        <f t="shared" si="598"/>
        <v>-28</v>
      </c>
      <c r="U144" s="82"/>
      <c r="V144" s="82"/>
      <c r="W144" s="82"/>
      <c r="X144" s="32">
        <f t="shared" si="599"/>
        <v>0</v>
      </c>
      <c r="Y144" s="82"/>
      <c r="Z144" s="82"/>
      <c r="AA144" s="82"/>
      <c r="AB144" s="32"/>
      <c r="AC144" s="32">
        <f t="shared" si="600"/>
        <v>-28</v>
      </c>
      <c r="AD144" s="32">
        <f t="shared" si="601"/>
        <v>-28</v>
      </c>
      <c r="AE144" s="32">
        <f t="shared" si="602"/>
        <v>-28</v>
      </c>
      <c r="AF144" s="32">
        <f t="shared" si="603"/>
        <v>-28</v>
      </c>
      <c r="AG144" s="32">
        <f t="shared" si="604"/>
        <v>0</v>
      </c>
      <c r="AH144" s="32">
        <f t="shared" si="605"/>
        <v>0</v>
      </c>
      <c r="AI144" s="32">
        <f t="shared" si="606"/>
        <v>0</v>
      </c>
      <c r="AJ144" s="32">
        <f t="shared" si="607"/>
        <v>0</v>
      </c>
      <c r="AK144" s="64"/>
      <c r="AL144" s="75">
        <f t="shared" si="597"/>
        <v>-1</v>
      </c>
    </row>
    <row r="145" spans="2:38" ht="12.75" customHeight="1">
      <c r="B145" s="84" t="s">
        <v>244</v>
      </c>
      <c r="C145" s="82">
        <v>975</v>
      </c>
      <c r="D145" s="82">
        <v>0</v>
      </c>
      <c r="E145" s="82"/>
      <c r="F145" s="82"/>
      <c r="G145" s="82"/>
      <c r="I145" s="82"/>
      <c r="J145" s="82"/>
      <c r="K145" s="82"/>
      <c r="L145" s="32">
        <f t="shared" si="594"/>
        <v>0</v>
      </c>
      <c r="M145" s="82"/>
      <c r="N145" s="82"/>
      <c r="O145" s="82"/>
      <c r="P145" s="32"/>
      <c r="Q145" s="82"/>
      <c r="R145" s="82"/>
      <c r="S145" s="82"/>
      <c r="T145" s="32"/>
      <c r="U145" s="82"/>
      <c r="V145" s="82"/>
      <c r="W145" s="82"/>
      <c r="X145" s="32"/>
      <c r="Y145" s="82"/>
      <c r="Z145" s="82"/>
      <c r="AA145" s="82"/>
      <c r="AB145" s="32"/>
      <c r="AC145" s="32">
        <f t="shared" ref="AC145:AC148" si="616">SUM(Q145:T145)</f>
        <v>0</v>
      </c>
      <c r="AD145" s="32">
        <f t="shared" ref="AD145:AD148" si="617">SUM(R145:U145)</f>
        <v>0</v>
      </c>
      <c r="AE145" s="32">
        <f t="shared" ref="AE145:AE148" si="618">SUM(S145:V145)</f>
        <v>0</v>
      </c>
      <c r="AF145" s="32">
        <f t="shared" ref="AF145:AF148" si="619">SUM(T145:W145)</f>
        <v>0</v>
      </c>
      <c r="AG145" s="32">
        <f t="shared" ref="AG145:AG148" si="620">SUM(U145:X145)</f>
        <v>0</v>
      </c>
      <c r="AH145" s="32">
        <f t="shared" ref="AH145:AH148" si="621">SUM(V145:Y145)</f>
        <v>0</v>
      </c>
      <c r="AI145" s="32">
        <f t="shared" ref="AI145:AI148" si="622">SUM(W145:Z145)</f>
        <v>0</v>
      </c>
      <c r="AJ145" s="32">
        <f t="shared" ref="AJ145:AJ148" si="623">SUM(X145:AA145)</f>
        <v>0</v>
      </c>
      <c r="AK145" s="64"/>
      <c r="AL145" s="75"/>
    </row>
    <row r="146" spans="2:38" ht="12.75" customHeight="1">
      <c r="B146" s="84" t="s">
        <v>245</v>
      </c>
      <c r="C146" s="82">
        <v>975</v>
      </c>
      <c r="D146" s="82">
        <v>0</v>
      </c>
      <c r="E146" s="82"/>
      <c r="F146" s="82"/>
      <c r="G146" s="82"/>
      <c r="I146" s="82"/>
      <c r="J146" s="82"/>
      <c r="K146" s="82"/>
      <c r="L146" s="32">
        <f t="shared" si="594"/>
        <v>0</v>
      </c>
      <c r="M146" s="82"/>
      <c r="N146" s="82"/>
      <c r="O146" s="82"/>
      <c r="P146" s="32"/>
      <c r="Q146" s="82"/>
      <c r="R146" s="82"/>
      <c r="S146" s="82"/>
      <c r="T146" s="32"/>
      <c r="U146" s="82"/>
      <c r="V146" s="82"/>
      <c r="W146" s="82"/>
      <c r="X146" s="32"/>
      <c r="Y146" s="82"/>
      <c r="Z146" s="82"/>
      <c r="AA146" s="82"/>
      <c r="AB146" s="32"/>
      <c r="AC146" s="32">
        <f t="shared" si="616"/>
        <v>0</v>
      </c>
      <c r="AD146" s="32">
        <f t="shared" si="617"/>
        <v>0</v>
      </c>
      <c r="AE146" s="32">
        <f t="shared" si="618"/>
        <v>0</v>
      </c>
      <c r="AF146" s="32">
        <f t="shared" si="619"/>
        <v>0</v>
      </c>
      <c r="AG146" s="32">
        <f t="shared" si="620"/>
        <v>0</v>
      </c>
      <c r="AH146" s="32">
        <f t="shared" si="621"/>
        <v>0</v>
      </c>
      <c r="AI146" s="32">
        <f t="shared" si="622"/>
        <v>0</v>
      </c>
      <c r="AJ146" s="32">
        <f t="shared" si="623"/>
        <v>0</v>
      </c>
      <c r="AK146" s="64"/>
      <c r="AL146" s="75"/>
    </row>
    <row r="147" spans="2:38" ht="12.75" customHeight="1">
      <c r="B147" s="84" t="s">
        <v>248</v>
      </c>
      <c r="C147" s="82">
        <v>-535</v>
      </c>
      <c r="D147" s="82">
        <v>0</v>
      </c>
      <c r="E147" s="82"/>
      <c r="F147" s="82"/>
      <c r="G147" s="82"/>
      <c r="I147" s="82"/>
      <c r="J147" s="82"/>
      <c r="K147" s="82"/>
      <c r="L147" s="32">
        <f t="shared" si="594"/>
        <v>0</v>
      </c>
      <c r="M147" s="82"/>
      <c r="N147" s="82"/>
      <c r="O147" s="82"/>
      <c r="P147" s="32"/>
      <c r="Q147" s="82"/>
      <c r="R147" s="82"/>
      <c r="S147" s="82"/>
      <c r="T147" s="32"/>
      <c r="U147" s="82"/>
      <c r="V147" s="82"/>
      <c r="W147" s="82"/>
      <c r="X147" s="32"/>
      <c r="Y147" s="82"/>
      <c r="Z147" s="82"/>
      <c r="AA147" s="82"/>
      <c r="AB147" s="32"/>
      <c r="AC147" s="32">
        <f t="shared" ref="AC147" si="624">SUM(Q147:T147)</f>
        <v>0</v>
      </c>
      <c r="AD147" s="32">
        <f t="shared" ref="AD147" si="625">SUM(R147:U147)</f>
        <v>0</v>
      </c>
      <c r="AE147" s="32">
        <f t="shared" ref="AE147" si="626">SUM(S147:V147)</f>
        <v>0</v>
      </c>
      <c r="AF147" s="32">
        <f t="shared" ref="AF147" si="627">SUM(T147:W147)</f>
        <v>0</v>
      </c>
      <c r="AG147" s="32">
        <f t="shared" ref="AG147" si="628">SUM(U147:X147)</f>
        <v>0</v>
      </c>
      <c r="AH147" s="32">
        <f t="shared" ref="AH147" si="629">SUM(V147:Y147)</f>
        <v>0</v>
      </c>
      <c r="AI147" s="32">
        <f t="shared" ref="AI147" si="630">SUM(W147:Z147)</f>
        <v>0</v>
      </c>
      <c r="AJ147" s="32">
        <f t="shared" ref="AJ147" si="631">SUM(X147:AA147)</f>
        <v>0</v>
      </c>
      <c r="AK147" s="64"/>
      <c r="AL147" s="75"/>
    </row>
    <row r="148" spans="2:38" ht="12.75" customHeight="1">
      <c r="B148" s="84" t="s">
        <v>240</v>
      </c>
      <c r="C148" s="82">
        <v>-59</v>
      </c>
      <c r="D148" s="82">
        <v>0</v>
      </c>
      <c r="E148" s="82">
        <v>-53</v>
      </c>
      <c r="F148" s="82">
        <v>-56</v>
      </c>
      <c r="G148" s="82">
        <v>-87</v>
      </c>
      <c r="I148" s="82"/>
      <c r="J148" s="82"/>
      <c r="K148" s="82"/>
      <c r="L148" s="32">
        <f t="shared" si="594"/>
        <v>0</v>
      </c>
      <c r="M148" s="82"/>
      <c r="N148" s="82"/>
      <c r="O148" s="82"/>
      <c r="P148" s="32">
        <f t="shared" si="595"/>
        <v>-53</v>
      </c>
      <c r="Q148" s="82"/>
      <c r="R148" s="82"/>
      <c r="S148" s="82"/>
      <c r="T148" s="32">
        <f t="shared" si="598"/>
        <v>-56</v>
      </c>
      <c r="U148" s="82"/>
      <c r="V148" s="82"/>
      <c r="W148" s="82"/>
      <c r="X148" s="32">
        <f t="shared" si="599"/>
        <v>-87</v>
      </c>
      <c r="Y148" s="82"/>
      <c r="Z148" s="82"/>
      <c r="AA148" s="82"/>
      <c r="AB148" s="32"/>
      <c r="AC148" s="32">
        <f t="shared" si="616"/>
        <v>-56</v>
      </c>
      <c r="AD148" s="32">
        <f t="shared" si="617"/>
        <v>-56</v>
      </c>
      <c r="AE148" s="32">
        <f t="shared" si="618"/>
        <v>-56</v>
      </c>
      <c r="AF148" s="32">
        <f t="shared" si="619"/>
        <v>-56</v>
      </c>
      <c r="AG148" s="32">
        <f t="shared" si="620"/>
        <v>-87</v>
      </c>
      <c r="AH148" s="32">
        <f t="shared" si="621"/>
        <v>-87</v>
      </c>
      <c r="AI148" s="32">
        <f t="shared" si="622"/>
        <v>-87</v>
      </c>
      <c r="AJ148" s="32">
        <f t="shared" si="623"/>
        <v>-87</v>
      </c>
      <c r="AK148" s="64"/>
      <c r="AL148" s="75">
        <f t="shared" si="597"/>
        <v>0.5535714285714286</v>
      </c>
    </row>
    <row r="149" spans="2:38" ht="12.75" customHeight="1">
      <c r="B149" s="84" t="s">
        <v>241</v>
      </c>
      <c r="C149" s="82">
        <v>111</v>
      </c>
      <c r="D149" s="82">
        <v>0</v>
      </c>
      <c r="E149" s="82">
        <v>136</v>
      </c>
      <c r="F149" s="82">
        <v>182</v>
      </c>
      <c r="G149" s="82">
        <v>230</v>
      </c>
      <c r="I149" s="82"/>
      <c r="J149" s="82"/>
      <c r="K149" s="82"/>
      <c r="L149" s="32">
        <f t="shared" si="594"/>
        <v>0</v>
      </c>
      <c r="M149" s="82"/>
      <c r="N149" s="82"/>
      <c r="O149" s="82"/>
      <c r="P149" s="32">
        <f t="shared" si="595"/>
        <v>136</v>
      </c>
      <c r="Q149" s="82"/>
      <c r="R149" s="82"/>
      <c r="S149" s="82"/>
      <c r="T149" s="32">
        <f t="shared" si="598"/>
        <v>182</v>
      </c>
      <c r="U149" s="82"/>
      <c r="V149" s="82"/>
      <c r="W149" s="82"/>
      <c r="X149" s="32">
        <f t="shared" si="599"/>
        <v>230</v>
      </c>
      <c r="Y149" s="82"/>
      <c r="Z149" s="82"/>
      <c r="AA149" s="82"/>
      <c r="AB149" s="32"/>
      <c r="AC149" s="32">
        <f t="shared" si="600"/>
        <v>182</v>
      </c>
      <c r="AD149" s="32">
        <f t="shared" si="601"/>
        <v>182</v>
      </c>
      <c r="AE149" s="32">
        <f t="shared" si="602"/>
        <v>182</v>
      </c>
      <c r="AF149" s="32">
        <f t="shared" si="603"/>
        <v>182</v>
      </c>
      <c r="AG149" s="32">
        <f t="shared" si="604"/>
        <v>230</v>
      </c>
      <c r="AH149" s="32">
        <f t="shared" si="605"/>
        <v>230</v>
      </c>
      <c r="AI149" s="32">
        <f t="shared" si="606"/>
        <v>230</v>
      </c>
      <c r="AJ149" s="32">
        <f t="shared" si="607"/>
        <v>230</v>
      </c>
      <c r="AK149" s="64"/>
      <c r="AL149" s="75">
        <f t="shared" si="597"/>
        <v>0.26373626373626369</v>
      </c>
    </row>
    <row r="150" spans="2:38" ht="12.75" customHeight="1">
      <c r="B150" s="60" t="s">
        <v>242</v>
      </c>
      <c r="C150" s="82">
        <v>0</v>
      </c>
      <c r="D150" s="82">
        <v>0</v>
      </c>
      <c r="E150" s="82">
        <v>0</v>
      </c>
      <c r="F150" s="82">
        <v>0</v>
      </c>
      <c r="G150" s="82">
        <v>0</v>
      </c>
      <c r="I150" s="82"/>
      <c r="J150" s="82"/>
      <c r="K150" s="82"/>
      <c r="L150" s="32">
        <f t="shared" si="594"/>
        <v>0</v>
      </c>
      <c r="M150" s="82"/>
      <c r="N150" s="82"/>
      <c r="O150" s="82"/>
      <c r="P150" s="32">
        <f t="shared" si="595"/>
        <v>0</v>
      </c>
      <c r="Q150" s="82"/>
      <c r="R150" s="82"/>
      <c r="S150" s="82"/>
      <c r="T150" s="32">
        <f t="shared" si="598"/>
        <v>0</v>
      </c>
      <c r="U150" s="82"/>
      <c r="V150" s="82"/>
      <c r="W150" s="82"/>
      <c r="X150" s="32">
        <f t="shared" si="599"/>
        <v>0</v>
      </c>
      <c r="Y150" s="82"/>
      <c r="Z150" s="82"/>
      <c r="AA150" s="82"/>
      <c r="AB150" s="32"/>
      <c r="AC150" s="32">
        <f t="shared" si="596"/>
        <v>0</v>
      </c>
      <c r="AD150" s="32">
        <f t="shared" si="596"/>
        <v>0</v>
      </c>
      <c r="AE150" s="32">
        <f t="shared" si="596"/>
        <v>0</v>
      </c>
      <c r="AF150" s="32">
        <f t="shared" si="596"/>
        <v>0</v>
      </c>
      <c r="AG150" s="32">
        <f t="shared" si="596"/>
        <v>0</v>
      </c>
      <c r="AH150" s="32">
        <f t="shared" si="596"/>
        <v>0</v>
      </c>
      <c r="AI150" s="32">
        <f t="shared" si="596"/>
        <v>0</v>
      </c>
      <c r="AJ150" s="32">
        <f t="shared" si="596"/>
        <v>0</v>
      </c>
      <c r="AK150" s="64"/>
      <c r="AL150" s="75" t="e">
        <f t="shared" si="597"/>
        <v>#DIV/0!</v>
      </c>
    </row>
    <row r="151" spans="2:38" ht="12.75" customHeight="1">
      <c r="B151" s="13" t="s">
        <v>55</v>
      </c>
      <c r="C151" s="34">
        <f>SUM(C134:C150)</f>
        <v>294</v>
      </c>
      <c r="D151" s="14">
        <f>SUM(D134:D150)</f>
        <v>-155</v>
      </c>
      <c r="E151" s="14">
        <f t="shared" ref="E151:G151" si="632">SUM(E134:E150)</f>
        <v>-547</v>
      </c>
      <c r="F151" s="14">
        <f t="shared" si="632"/>
        <v>5</v>
      </c>
      <c r="G151" s="14">
        <f t="shared" si="632"/>
        <v>1813</v>
      </c>
      <c r="I151" s="14">
        <f t="shared" ref="I151:O151" si="633">SUM(I134:I150)</f>
        <v>0</v>
      </c>
      <c r="J151" s="14">
        <f t="shared" ref="J151:L151" si="634">SUM(J134:J150)</f>
        <v>0</v>
      </c>
      <c r="K151" s="14">
        <f t="shared" si="634"/>
        <v>0</v>
      </c>
      <c r="L151" s="14">
        <f t="shared" si="634"/>
        <v>-155</v>
      </c>
      <c r="M151" s="14">
        <f t="shared" si="633"/>
        <v>0</v>
      </c>
      <c r="N151" s="14">
        <f t="shared" si="633"/>
        <v>0</v>
      </c>
      <c r="O151" s="14">
        <f t="shared" si="633"/>
        <v>0</v>
      </c>
      <c r="P151" s="14">
        <f t="shared" ref="P151" si="635">SUM(P134:P150)</f>
        <v>-547</v>
      </c>
      <c r="Q151" s="14">
        <f t="shared" ref="Q151:AA151" si="636">SUM(Q134:Q150)</f>
        <v>0</v>
      </c>
      <c r="R151" s="14">
        <f t="shared" si="636"/>
        <v>0</v>
      </c>
      <c r="S151" s="14">
        <f t="shared" si="636"/>
        <v>0</v>
      </c>
      <c r="T151" s="14">
        <f t="shared" si="636"/>
        <v>5</v>
      </c>
      <c r="U151" s="14">
        <f t="shared" si="636"/>
        <v>0</v>
      </c>
      <c r="V151" s="14">
        <f t="shared" si="636"/>
        <v>0</v>
      </c>
      <c r="W151" s="14">
        <f t="shared" si="636"/>
        <v>0</v>
      </c>
      <c r="X151" s="14">
        <f t="shared" si="636"/>
        <v>1813</v>
      </c>
      <c r="Y151" s="14">
        <f t="shared" si="636"/>
        <v>0</v>
      </c>
      <c r="Z151" s="14">
        <f t="shared" si="636"/>
        <v>0</v>
      </c>
      <c r="AA151" s="14">
        <f t="shared" si="636"/>
        <v>0</v>
      </c>
      <c r="AC151" s="14">
        <f t="shared" ref="AC151:AJ151" si="637">SUM(AC134:AC150)</f>
        <v>5</v>
      </c>
      <c r="AD151" s="14">
        <f t="shared" si="637"/>
        <v>5</v>
      </c>
      <c r="AE151" s="14">
        <f t="shared" si="637"/>
        <v>5</v>
      </c>
      <c r="AF151" s="14">
        <f t="shared" si="637"/>
        <v>5</v>
      </c>
      <c r="AG151" s="14">
        <f t="shared" si="637"/>
        <v>1813</v>
      </c>
      <c r="AH151" s="14">
        <f t="shared" si="637"/>
        <v>1813</v>
      </c>
      <c r="AI151" s="14">
        <f t="shared" si="637"/>
        <v>1813</v>
      </c>
      <c r="AJ151" s="14">
        <f t="shared" si="637"/>
        <v>1813</v>
      </c>
      <c r="AK151" s="42"/>
      <c r="AL151" s="76">
        <f t="shared" si="593"/>
        <v>361.6</v>
      </c>
    </row>
    <row r="152" spans="2:38" ht="5.0999999999999996" customHeight="1">
      <c r="B152" s="71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11"/>
      <c r="AL152" s="45"/>
    </row>
    <row r="153" spans="2:38">
      <c r="B153" s="92" t="s">
        <v>81</v>
      </c>
      <c r="C153" s="177">
        <v>607</v>
      </c>
      <c r="D153" s="93">
        <f t="shared" ref="D153" si="638">C160</f>
        <v>1737</v>
      </c>
      <c r="E153" s="93">
        <f t="shared" ref="E153" si="639">D160</f>
        <v>1866</v>
      </c>
      <c r="F153" s="93">
        <f t="shared" ref="F153:G153" si="640">E160</f>
        <v>870</v>
      </c>
      <c r="G153" s="93">
        <f t="shared" si="640"/>
        <v>807</v>
      </c>
      <c r="H153" s="93"/>
      <c r="I153" s="93">
        <f>C153</f>
        <v>607</v>
      </c>
      <c r="J153" s="93">
        <f t="shared" ref="J153" si="641">I160</f>
        <v>947</v>
      </c>
      <c r="K153" s="93">
        <f t="shared" ref="K153" si="642">J160</f>
        <v>1091</v>
      </c>
      <c r="L153" s="93">
        <f t="shared" ref="L153" si="643">K160</f>
        <v>1572</v>
      </c>
      <c r="M153" s="93">
        <f t="shared" ref="M153" si="644">L160</f>
        <v>476</v>
      </c>
      <c r="N153" s="93">
        <f t="shared" ref="N153" si="645">M160</f>
        <v>846</v>
      </c>
      <c r="O153" s="93">
        <f t="shared" ref="O153" si="646">N160</f>
        <v>1149</v>
      </c>
      <c r="P153" s="93">
        <f t="shared" ref="P153" si="647">O160</f>
        <v>1482</v>
      </c>
      <c r="Q153" s="93">
        <f t="shared" ref="Q153" si="648">P160</f>
        <v>-520</v>
      </c>
      <c r="R153" s="93">
        <f t="shared" ref="R153:AA153" si="649">Q160</f>
        <v>-9</v>
      </c>
      <c r="S153" s="93">
        <f t="shared" si="649"/>
        <v>337</v>
      </c>
      <c r="T153" s="93">
        <f t="shared" si="649"/>
        <v>853</v>
      </c>
      <c r="U153" s="93">
        <f t="shared" si="649"/>
        <v>-583</v>
      </c>
      <c r="V153" s="93">
        <f t="shared" si="649"/>
        <v>117</v>
      </c>
      <c r="W153" s="93">
        <f t="shared" si="649"/>
        <v>717</v>
      </c>
      <c r="X153" s="93">
        <f t="shared" si="649"/>
        <v>1162</v>
      </c>
      <c r="Y153" s="93">
        <f t="shared" si="649"/>
        <v>-993</v>
      </c>
      <c r="Z153" s="93">
        <f t="shared" si="649"/>
        <v>-124</v>
      </c>
      <c r="AA153" s="93">
        <f t="shared" si="649"/>
        <v>713</v>
      </c>
      <c r="AB153" s="93"/>
      <c r="AC153" s="93"/>
      <c r="AD153" s="93">
        <f t="shared" ref="AD153:AJ153" si="650">Q160</f>
        <v>-9</v>
      </c>
      <c r="AE153" s="93">
        <f t="shared" si="650"/>
        <v>337</v>
      </c>
      <c r="AF153" s="93">
        <f t="shared" si="650"/>
        <v>853</v>
      </c>
      <c r="AG153" s="93">
        <f t="shared" si="650"/>
        <v>-583</v>
      </c>
      <c r="AH153" s="93">
        <f t="shared" si="650"/>
        <v>117</v>
      </c>
      <c r="AI153" s="93">
        <f t="shared" si="650"/>
        <v>717</v>
      </c>
      <c r="AJ153" s="140">
        <f t="shared" si="650"/>
        <v>1162</v>
      </c>
      <c r="AK153" s="11"/>
      <c r="AL153" s="45"/>
    </row>
    <row r="154" spans="2:38">
      <c r="B154" s="130" t="s">
        <v>94</v>
      </c>
      <c r="C154" s="32"/>
      <c r="D154" s="32">
        <f t="shared" ref="D154" si="651">-C158</f>
        <v>260</v>
      </c>
      <c r="E154" s="32">
        <f t="shared" ref="E154" si="652">-D158</f>
        <v>243</v>
      </c>
      <c r="F154" s="32">
        <f t="shared" ref="F154:G154" si="653">-E158</f>
        <v>197</v>
      </c>
      <c r="G154" s="32">
        <f t="shared" si="653"/>
        <v>190</v>
      </c>
      <c r="H154" s="32"/>
      <c r="I154" s="32">
        <f>C154</f>
        <v>0</v>
      </c>
      <c r="J154" s="32">
        <f t="shared" ref="J154" si="654">-I158</f>
        <v>0</v>
      </c>
      <c r="K154" s="32">
        <f t="shared" ref="K154" si="655">-J158</f>
        <v>0</v>
      </c>
      <c r="L154" s="32">
        <f t="shared" ref="L154" si="656">-K158</f>
        <v>0</v>
      </c>
      <c r="M154" s="32">
        <f t="shared" ref="M154" si="657">-L158</f>
        <v>243</v>
      </c>
      <c r="N154" s="32">
        <f t="shared" ref="N154" si="658">-M158</f>
        <v>0</v>
      </c>
      <c r="O154" s="32">
        <f t="shared" ref="O154" si="659">-N158</f>
        <v>0</v>
      </c>
      <c r="P154" s="32">
        <f t="shared" ref="P154" si="660">-O158</f>
        <v>0</v>
      </c>
      <c r="Q154" s="32">
        <f t="shared" ref="Q154" si="661">-P158</f>
        <v>197</v>
      </c>
      <c r="R154" s="32">
        <f t="shared" ref="R154:AA154" si="662">-Q158</f>
        <v>0</v>
      </c>
      <c r="S154" s="32">
        <f t="shared" si="662"/>
        <v>0</v>
      </c>
      <c r="T154" s="32">
        <f t="shared" si="662"/>
        <v>0</v>
      </c>
      <c r="U154" s="32">
        <f t="shared" si="662"/>
        <v>190</v>
      </c>
      <c r="V154" s="32">
        <f t="shared" si="662"/>
        <v>0</v>
      </c>
      <c r="W154" s="32">
        <f t="shared" si="662"/>
        <v>0</v>
      </c>
      <c r="X154" s="32">
        <f t="shared" si="662"/>
        <v>0</v>
      </c>
      <c r="Y154" s="32">
        <f t="shared" si="662"/>
        <v>191</v>
      </c>
      <c r="Z154" s="32">
        <f t="shared" si="662"/>
        <v>0</v>
      </c>
      <c r="AA154" s="32">
        <f t="shared" si="662"/>
        <v>0</v>
      </c>
      <c r="AB154" s="32"/>
      <c r="AC154" s="32">
        <f>F154</f>
        <v>197</v>
      </c>
      <c r="AD154" s="32">
        <f t="shared" ref="AD154:AJ154" si="663">-Q158</f>
        <v>0</v>
      </c>
      <c r="AE154" s="32">
        <f t="shared" si="663"/>
        <v>0</v>
      </c>
      <c r="AF154" s="32">
        <f t="shared" si="663"/>
        <v>0</v>
      </c>
      <c r="AG154" s="32">
        <f t="shared" si="663"/>
        <v>190</v>
      </c>
      <c r="AH154" s="32">
        <f t="shared" si="663"/>
        <v>0</v>
      </c>
      <c r="AI154" s="32">
        <f t="shared" si="663"/>
        <v>0</v>
      </c>
      <c r="AJ154" s="134">
        <f t="shared" si="663"/>
        <v>0</v>
      </c>
      <c r="AK154" s="11"/>
      <c r="AL154" s="45"/>
    </row>
    <row r="155" spans="2:38">
      <c r="B155" s="145" t="s">
        <v>68</v>
      </c>
      <c r="C155" s="146">
        <f t="shared" ref="C155:D155" si="664">SUM(C153:C154)</f>
        <v>607</v>
      </c>
      <c r="D155" s="146">
        <f t="shared" si="664"/>
        <v>1997</v>
      </c>
      <c r="E155" s="146">
        <f t="shared" ref="E155:G155" si="665">SUM(E153:E154)</f>
        <v>2109</v>
      </c>
      <c r="F155" s="146">
        <f t="shared" si="665"/>
        <v>1067</v>
      </c>
      <c r="G155" s="146">
        <f t="shared" si="665"/>
        <v>997</v>
      </c>
      <c r="H155" s="32"/>
      <c r="I155" s="146">
        <f t="shared" ref="I155:O155" si="666">SUM(I153:I154)</f>
        <v>607</v>
      </c>
      <c r="J155" s="146">
        <f t="shared" ref="J155:L155" si="667">SUM(J153:J154)</f>
        <v>947</v>
      </c>
      <c r="K155" s="146">
        <f t="shared" si="667"/>
        <v>1091</v>
      </c>
      <c r="L155" s="146">
        <f t="shared" si="667"/>
        <v>1572</v>
      </c>
      <c r="M155" s="146">
        <f t="shared" si="666"/>
        <v>719</v>
      </c>
      <c r="N155" s="146">
        <f t="shared" si="666"/>
        <v>846</v>
      </c>
      <c r="O155" s="146">
        <f t="shared" si="666"/>
        <v>1149</v>
      </c>
      <c r="P155" s="146">
        <f t="shared" ref="P155" si="668">SUM(P153:P154)</f>
        <v>1482</v>
      </c>
      <c r="Q155" s="146">
        <f t="shared" ref="Q155:AA155" si="669">SUM(Q153:Q154)</f>
        <v>-323</v>
      </c>
      <c r="R155" s="146">
        <f t="shared" si="669"/>
        <v>-9</v>
      </c>
      <c r="S155" s="146">
        <f t="shared" si="669"/>
        <v>337</v>
      </c>
      <c r="T155" s="146">
        <f t="shared" si="669"/>
        <v>853</v>
      </c>
      <c r="U155" s="146">
        <f t="shared" si="669"/>
        <v>-393</v>
      </c>
      <c r="V155" s="146">
        <f t="shared" si="669"/>
        <v>117</v>
      </c>
      <c r="W155" s="146">
        <f t="shared" si="669"/>
        <v>717</v>
      </c>
      <c r="X155" s="146">
        <f t="shared" si="669"/>
        <v>1162</v>
      </c>
      <c r="Y155" s="146">
        <f t="shared" si="669"/>
        <v>-802</v>
      </c>
      <c r="Z155" s="146">
        <f t="shared" si="669"/>
        <v>-124</v>
      </c>
      <c r="AA155" s="146">
        <f t="shared" si="669"/>
        <v>713</v>
      </c>
      <c r="AB155" s="32"/>
      <c r="AC155" s="133">
        <f t="shared" ref="AC155:AJ155" si="670">SUM(AC153:AC154)</f>
        <v>197</v>
      </c>
      <c r="AD155" s="133">
        <f t="shared" si="670"/>
        <v>-9</v>
      </c>
      <c r="AE155" s="133">
        <f t="shared" si="670"/>
        <v>337</v>
      </c>
      <c r="AF155" s="146">
        <f t="shared" si="670"/>
        <v>853</v>
      </c>
      <c r="AG155" s="146">
        <f t="shared" si="670"/>
        <v>-393</v>
      </c>
      <c r="AH155" s="146">
        <f t="shared" si="670"/>
        <v>117</v>
      </c>
      <c r="AI155" s="146">
        <f t="shared" si="670"/>
        <v>717</v>
      </c>
      <c r="AJ155" s="147">
        <f t="shared" si="670"/>
        <v>1162</v>
      </c>
      <c r="AK155" s="11"/>
      <c r="AL155" s="45"/>
    </row>
    <row r="156" spans="2:38" ht="5.0999999999999996" customHeight="1">
      <c r="B156" s="137"/>
      <c r="C156" s="71"/>
      <c r="D156" s="71"/>
      <c r="E156" s="71"/>
      <c r="F156" s="71"/>
      <c r="G156" s="71"/>
      <c r="H156" s="32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32"/>
      <c r="AC156" s="71"/>
      <c r="AD156" s="71"/>
      <c r="AE156" s="71"/>
      <c r="AF156" s="71"/>
      <c r="AG156" s="71"/>
      <c r="AH156" s="71"/>
      <c r="AI156" s="71"/>
      <c r="AJ156" s="135"/>
      <c r="AK156" s="11"/>
      <c r="AL156" s="45"/>
    </row>
    <row r="157" spans="2:38">
      <c r="B157" s="130" t="s">
        <v>82</v>
      </c>
      <c r="C157" s="82">
        <v>-2</v>
      </c>
      <c r="D157" s="82">
        <v>-6</v>
      </c>
      <c r="E157" s="82">
        <v>-9</v>
      </c>
      <c r="F157" s="82">
        <v>-4</v>
      </c>
      <c r="G157" s="82">
        <v>-11</v>
      </c>
      <c r="H157" s="32"/>
      <c r="I157" s="82"/>
      <c r="J157" s="82"/>
      <c r="K157" s="82"/>
      <c r="L157" s="32">
        <f t="shared" ref="L157" si="671">SUM(D157-SUM(I157:K157))</f>
        <v>-6</v>
      </c>
      <c r="M157" s="82"/>
      <c r="N157" s="82"/>
      <c r="O157" s="82"/>
      <c r="P157" s="32">
        <f t="shared" ref="P157" si="672">SUM(E157-SUM(M157:O157))</f>
        <v>-9</v>
      </c>
      <c r="Q157" s="82"/>
      <c r="R157" s="82"/>
      <c r="S157" s="82"/>
      <c r="T157" s="32">
        <f>SUM(F157-SUM(Q157:S157))</f>
        <v>-4</v>
      </c>
      <c r="U157" s="82"/>
      <c r="V157" s="82"/>
      <c r="W157" s="82"/>
      <c r="X157" s="32">
        <f>SUM(G157-SUM(U157:W157))</f>
        <v>-11</v>
      </c>
      <c r="Y157" s="82"/>
      <c r="Z157" s="82"/>
      <c r="AA157" s="82"/>
      <c r="AB157" s="32"/>
      <c r="AC157" s="32">
        <f t="shared" ref="AC157:AJ157" si="673">SUM(Q157:T157)</f>
        <v>-4</v>
      </c>
      <c r="AD157" s="32">
        <f t="shared" si="673"/>
        <v>-4</v>
      </c>
      <c r="AE157" s="32">
        <f t="shared" si="673"/>
        <v>-4</v>
      </c>
      <c r="AF157" s="32">
        <f t="shared" si="673"/>
        <v>-4</v>
      </c>
      <c r="AG157" s="32">
        <f t="shared" si="673"/>
        <v>-11</v>
      </c>
      <c r="AH157" s="32">
        <f t="shared" si="673"/>
        <v>-11</v>
      </c>
      <c r="AI157" s="32">
        <f t="shared" si="673"/>
        <v>-11</v>
      </c>
      <c r="AJ157" s="134">
        <f t="shared" si="673"/>
        <v>-11</v>
      </c>
      <c r="AK157" s="11"/>
      <c r="AL157" s="45"/>
    </row>
    <row r="158" spans="2:38">
      <c r="B158" s="130" t="s">
        <v>92</v>
      </c>
      <c r="C158" s="82">
        <f>-208-52</f>
        <v>-260</v>
      </c>
      <c r="D158" s="82">
        <f>-188-55</f>
        <v>-243</v>
      </c>
      <c r="E158" s="82">
        <f>-149-48</f>
        <v>-197</v>
      </c>
      <c r="F158" s="82">
        <f>-130-60</f>
        <v>-190</v>
      </c>
      <c r="G158" s="82">
        <f>-111-80</f>
        <v>-191</v>
      </c>
      <c r="H158" s="32"/>
      <c r="I158" s="82"/>
      <c r="J158" s="82"/>
      <c r="K158" s="82"/>
      <c r="L158" s="32">
        <f>D158</f>
        <v>-243</v>
      </c>
      <c r="M158" s="82"/>
      <c r="N158" s="82"/>
      <c r="O158" s="82"/>
      <c r="P158" s="32">
        <f>E158</f>
        <v>-197</v>
      </c>
      <c r="Q158" s="82"/>
      <c r="R158" s="82"/>
      <c r="S158" s="82"/>
      <c r="T158" s="32">
        <f>F158</f>
        <v>-190</v>
      </c>
      <c r="U158" s="82"/>
      <c r="V158" s="82"/>
      <c r="W158" s="82"/>
      <c r="X158" s="32">
        <f>G158</f>
        <v>-191</v>
      </c>
      <c r="Y158" s="82"/>
      <c r="Z158" s="82"/>
      <c r="AA158" s="82"/>
      <c r="AB158" s="32"/>
      <c r="AC158" s="32">
        <f t="shared" ref="AC158:AJ158" si="674">T158</f>
        <v>-190</v>
      </c>
      <c r="AD158" s="32">
        <f t="shared" si="674"/>
        <v>0</v>
      </c>
      <c r="AE158" s="32">
        <f t="shared" si="674"/>
        <v>0</v>
      </c>
      <c r="AF158" s="32">
        <f t="shared" si="674"/>
        <v>0</v>
      </c>
      <c r="AG158" s="32">
        <f t="shared" si="674"/>
        <v>-191</v>
      </c>
      <c r="AH158" s="32">
        <f t="shared" si="674"/>
        <v>0</v>
      </c>
      <c r="AI158" s="32">
        <f t="shared" si="674"/>
        <v>0</v>
      </c>
      <c r="AJ158" s="134">
        <f t="shared" si="674"/>
        <v>0</v>
      </c>
      <c r="AK158" s="11"/>
      <c r="AL158" s="45"/>
    </row>
    <row r="159" spans="2:38">
      <c r="B159" s="130" t="s">
        <v>59</v>
      </c>
      <c r="C159" s="32">
        <f>+C151+C131+C120</f>
        <v>1392</v>
      </c>
      <c r="D159" s="32">
        <f>+D151+D131+D120</f>
        <v>118</v>
      </c>
      <c r="E159" s="32">
        <f>+E151+E131+E120</f>
        <v>-1033</v>
      </c>
      <c r="F159" s="32">
        <f>+F151+F131+F120</f>
        <v>-66</v>
      </c>
      <c r="G159" s="32">
        <f>+G151+G131+G120</f>
        <v>-398</v>
      </c>
      <c r="H159" s="32"/>
      <c r="I159" s="32">
        <f>+I151+I131+I120</f>
        <v>340</v>
      </c>
      <c r="J159" s="32">
        <f>+J151+J131+J120</f>
        <v>144</v>
      </c>
      <c r="K159" s="32">
        <f>+K151+K131+K120</f>
        <v>481</v>
      </c>
      <c r="L159" s="32">
        <f>+L151+L131+L120</f>
        <v>-847</v>
      </c>
      <c r="M159" s="32">
        <f>+M151+M131+M120</f>
        <v>127</v>
      </c>
      <c r="N159" s="32">
        <f>+N151+N131+N120</f>
        <v>303</v>
      </c>
      <c r="O159" s="32">
        <f>+O151+O131+O120</f>
        <v>333</v>
      </c>
      <c r="P159" s="32">
        <f>+P151+P131+P120</f>
        <v>-1796</v>
      </c>
      <c r="Q159" s="32">
        <f>+Q151+Q131+Q120</f>
        <v>314</v>
      </c>
      <c r="R159" s="32">
        <f>+R151+R131+R120</f>
        <v>346</v>
      </c>
      <c r="S159" s="32">
        <f>+S151+S131+S120</f>
        <v>516</v>
      </c>
      <c r="T159" s="32">
        <f>+T151+T131+T120</f>
        <v>-1242</v>
      </c>
      <c r="U159" s="32">
        <f>+U151+U131+U120</f>
        <v>510</v>
      </c>
      <c r="V159" s="32">
        <f>+V151+V131+V120</f>
        <v>600</v>
      </c>
      <c r="W159" s="32">
        <f>+W151+W131+W120</f>
        <v>445</v>
      </c>
      <c r="X159" s="32">
        <f>+X151+X131+X120</f>
        <v>-1953</v>
      </c>
      <c r="Y159" s="32">
        <f>+Y151+Y131+Y120</f>
        <v>678</v>
      </c>
      <c r="Z159" s="32">
        <f>+Z151+Z131+Z120</f>
        <v>837</v>
      </c>
      <c r="AA159" s="32">
        <f>+AA151+AA131+AA120</f>
        <v>766</v>
      </c>
      <c r="AB159" s="32"/>
      <c r="AC159" s="32">
        <f t="shared" ref="AC159:AJ159" si="675">SUM(Q159:T159)</f>
        <v>-66</v>
      </c>
      <c r="AD159" s="32">
        <f t="shared" si="675"/>
        <v>130</v>
      </c>
      <c r="AE159" s="32">
        <f t="shared" si="675"/>
        <v>384</v>
      </c>
      <c r="AF159" s="32">
        <f t="shared" si="675"/>
        <v>313</v>
      </c>
      <c r="AG159" s="32">
        <f t="shared" si="675"/>
        <v>-398</v>
      </c>
      <c r="AH159" s="32">
        <f t="shared" si="675"/>
        <v>-230</v>
      </c>
      <c r="AI159" s="32">
        <f t="shared" si="675"/>
        <v>7</v>
      </c>
      <c r="AJ159" s="134">
        <f t="shared" si="675"/>
        <v>328</v>
      </c>
      <c r="AK159" s="11"/>
      <c r="AL159" s="45"/>
    </row>
    <row r="160" spans="2:38">
      <c r="B160" s="89" t="s">
        <v>69</v>
      </c>
      <c r="C160" s="146">
        <f t="shared" ref="C160:D160" si="676">SUM(C155:C159)</f>
        <v>1737</v>
      </c>
      <c r="D160" s="146">
        <f t="shared" si="676"/>
        <v>1866</v>
      </c>
      <c r="E160" s="146">
        <f t="shared" ref="E160:G160" si="677">SUM(E155:E159)</f>
        <v>870</v>
      </c>
      <c r="F160" s="146">
        <f t="shared" si="677"/>
        <v>807</v>
      </c>
      <c r="G160" s="146">
        <f t="shared" si="677"/>
        <v>397</v>
      </c>
      <c r="H160" s="32"/>
      <c r="I160" s="146">
        <f t="shared" ref="I160:O160" si="678">SUM(I155:I159)</f>
        <v>947</v>
      </c>
      <c r="J160" s="146">
        <f t="shared" ref="J160:L160" si="679">SUM(J155:J159)</f>
        <v>1091</v>
      </c>
      <c r="K160" s="146">
        <f t="shared" si="679"/>
        <v>1572</v>
      </c>
      <c r="L160" s="146">
        <f t="shared" si="679"/>
        <v>476</v>
      </c>
      <c r="M160" s="146">
        <f t="shared" si="678"/>
        <v>846</v>
      </c>
      <c r="N160" s="146">
        <f t="shared" si="678"/>
        <v>1149</v>
      </c>
      <c r="O160" s="146">
        <f t="shared" si="678"/>
        <v>1482</v>
      </c>
      <c r="P160" s="146">
        <f t="shared" ref="P160" si="680">SUM(P155:P159)</f>
        <v>-520</v>
      </c>
      <c r="Q160" s="146">
        <f t="shared" ref="Q160:AA160" si="681">SUM(Q155:Q159)</f>
        <v>-9</v>
      </c>
      <c r="R160" s="146">
        <f t="shared" si="681"/>
        <v>337</v>
      </c>
      <c r="S160" s="146">
        <f t="shared" si="681"/>
        <v>853</v>
      </c>
      <c r="T160" s="146">
        <f t="shared" si="681"/>
        <v>-583</v>
      </c>
      <c r="U160" s="146">
        <f t="shared" si="681"/>
        <v>117</v>
      </c>
      <c r="V160" s="146">
        <f t="shared" si="681"/>
        <v>717</v>
      </c>
      <c r="W160" s="146">
        <f t="shared" si="681"/>
        <v>1162</v>
      </c>
      <c r="X160" s="146">
        <f t="shared" si="681"/>
        <v>-993</v>
      </c>
      <c r="Y160" s="146">
        <f t="shared" si="681"/>
        <v>-124</v>
      </c>
      <c r="Z160" s="146">
        <f t="shared" si="681"/>
        <v>713</v>
      </c>
      <c r="AA160" s="146">
        <f t="shared" si="681"/>
        <v>1479</v>
      </c>
      <c r="AB160" s="32"/>
      <c r="AC160" s="133">
        <f t="shared" ref="AC160:AJ160" si="682">SUM(AC155:AC159)</f>
        <v>-63</v>
      </c>
      <c r="AD160" s="133">
        <f t="shared" si="682"/>
        <v>117</v>
      </c>
      <c r="AE160" s="133">
        <f t="shared" si="682"/>
        <v>717</v>
      </c>
      <c r="AF160" s="146">
        <f t="shared" si="682"/>
        <v>1162</v>
      </c>
      <c r="AG160" s="146">
        <f t="shared" si="682"/>
        <v>-993</v>
      </c>
      <c r="AH160" s="146">
        <f t="shared" si="682"/>
        <v>-124</v>
      </c>
      <c r="AI160" s="146">
        <f t="shared" si="682"/>
        <v>713</v>
      </c>
      <c r="AJ160" s="147">
        <f t="shared" si="682"/>
        <v>1479</v>
      </c>
      <c r="AK160" s="11"/>
      <c r="AL160" s="45"/>
    </row>
    <row r="161" spans="2:38" ht="5.0999999999999996" customHeight="1">
      <c r="B161" s="90"/>
      <c r="C161" s="65"/>
      <c r="D161" s="65"/>
      <c r="E161" s="65"/>
      <c r="F161" s="65"/>
      <c r="G161" s="65"/>
      <c r="H161" s="32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C161" s="11"/>
      <c r="AD161" s="11"/>
      <c r="AE161" s="11"/>
      <c r="AF161" s="11"/>
      <c r="AG161" s="11"/>
      <c r="AH161" s="11"/>
      <c r="AI161" s="11"/>
      <c r="AJ161" s="91"/>
      <c r="AK161" s="11"/>
      <c r="AL161" s="45"/>
    </row>
    <row r="162" spans="2:38">
      <c r="B162" s="138" t="s">
        <v>85</v>
      </c>
      <c r="C162" s="87">
        <f>ROUND(C160-C53,-3)</f>
        <v>0</v>
      </c>
      <c r="D162" s="87">
        <f t="shared" ref="D162:G162" si="683">ROUND(D160-D53,-3)</f>
        <v>0</v>
      </c>
      <c r="E162" s="87">
        <f t="shared" si="683"/>
        <v>0</v>
      </c>
      <c r="F162" s="87">
        <f t="shared" si="683"/>
        <v>0</v>
      </c>
      <c r="G162" s="87">
        <f t="shared" si="683"/>
        <v>0</v>
      </c>
      <c r="H162" s="88"/>
      <c r="I162" s="87">
        <f t="shared" ref="D162:AA162" si="684">ROUND(I160-I53,-3)</f>
        <v>-1000</v>
      </c>
      <c r="J162" s="87">
        <f t="shared" si="684"/>
        <v>-2000</v>
      </c>
      <c r="K162" s="87">
        <f t="shared" si="684"/>
        <v>0</v>
      </c>
      <c r="L162" s="87">
        <f t="shared" si="684"/>
        <v>-1000</v>
      </c>
      <c r="M162" s="87">
        <f t="shared" si="684"/>
        <v>1000</v>
      </c>
      <c r="N162" s="87">
        <f t="shared" si="684"/>
        <v>1000</v>
      </c>
      <c r="O162" s="87">
        <f t="shared" si="684"/>
        <v>1000</v>
      </c>
      <c r="P162" s="87">
        <f t="shared" si="684"/>
        <v>-1000</v>
      </c>
      <c r="Q162" s="87">
        <f t="shared" si="684"/>
        <v>-1000</v>
      </c>
      <c r="R162" s="87">
        <f t="shared" si="684"/>
        <v>0</v>
      </c>
      <c r="S162" s="87">
        <f t="shared" si="684"/>
        <v>0</v>
      </c>
      <c r="T162" s="87">
        <f t="shared" si="684"/>
        <v>-1000</v>
      </c>
      <c r="U162" s="87">
        <f t="shared" si="684"/>
        <v>-2000</v>
      </c>
      <c r="V162" s="87">
        <f t="shared" si="684"/>
        <v>-2000</v>
      </c>
      <c r="W162" s="87">
        <f t="shared" si="684"/>
        <v>-1000</v>
      </c>
      <c r="X162" s="87">
        <f t="shared" si="684"/>
        <v>-1000</v>
      </c>
      <c r="Y162" s="87">
        <f t="shared" si="684"/>
        <v>-1000</v>
      </c>
      <c r="Z162" s="87">
        <f t="shared" si="684"/>
        <v>0</v>
      </c>
      <c r="AA162" s="87">
        <f t="shared" si="684"/>
        <v>0</v>
      </c>
      <c r="AB162" s="87"/>
      <c r="AC162" s="87">
        <f>AC160-AC53</f>
        <v>-929</v>
      </c>
      <c r="AD162" s="87">
        <f>AD160-AD53</f>
        <v>-2212</v>
      </c>
      <c r="AE162" s="87">
        <f>AE160-AE53</f>
        <v>-2196</v>
      </c>
      <c r="AF162" s="87">
        <f>AF160-AF53</f>
        <v>-1340</v>
      </c>
      <c r="AG162" s="87">
        <f>AG160-AG53</f>
        <v>-1407</v>
      </c>
      <c r="AH162" s="87">
        <f>AH160-AH53</f>
        <v>-849</v>
      </c>
      <c r="AI162" s="87">
        <f>AI160-AI53</f>
        <v>179</v>
      </c>
      <c r="AJ162" s="136">
        <f>AJ160-AJ53</f>
        <v>204</v>
      </c>
      <c r="AK162" s="11"/>
      <c r="AL162" s="45"/>
    </row>
    <row r="163" spans="2:38" ht="5.0999999999999996" customHeight="1">
      <c r="B163" s="8"/>
      <c r="C163" s="65"/>
      <c r="D163" s="65"/>
      <c r="E163" s="65"/>
      <c r="F163" s="65"/>
      <c r="G163" s="65"/>
      <c r="H163" s="32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C163" s="11"/>
      <c r="AD163" s="11"/>
      <c r="AE163" s="11"/>
      <c r="AF163" s="11"/>
      <c r="AG163" s="11"/>
      <c r="AH163" s="11"/>
      <c r="AI163" s="11"/>
      <c r="AJ163" s="11"/>
      <c r="AK163" s="11"/>
      <c r="AL163" s="45"/>
    </row>
    <row r="164" spans="2:38" ht="12.75" customHeight="1">
      <c r="B164" s="72" t="s">
        <v>60</v>
      </c>
      <c r="C164" s="62"/>
      <c r="D164" s="62"/>
      <c r="E164" s="62"/>
      <c r="F164" s="62"/>
      <c r="G164" s="62"/>
      <c r="H164" s="11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82"/>
      <c r="Z164" s="62"/>
      <c r="AA164" s="62"/>
      <c r="AC164" s="62"/>
      <c r="AD164" s="62"/>
      <c r="AE164" s="62"/>
      <c r="AF164" s="62"/>
      <c r="AG164" s="62"/>
      <c r="AH164" s="62"/>
      <c r="AI164" s="62"/>
      <c r="AJ164" s="62"/>
      <c r="AK164" s="66"/>
      <c r="AL164" s="45"/>
    </row>
    <row r="165" spans="2:38" ht="12.75" customHeight="1">
      <c r="B165" s="8" t="s">
        <v>93</v>
      </c>
      <c r="C165" s="82">
        <v>359</v>
      </c>
      <c r="D165" s="82">
        <v>338</v>
      </c>
      <c r="E165" s="82">
        <v>450</v>
      </c>
      <c r="F165" s="82">
        <v>259</v>
      </c>
      <c r="G165" s="82">
        <v>250</v>
      </c>
      <c r="H165" s="11"/>
      <c r="I165" s="82"/>
      <c r="J165" s="82"/>
      <c r="K165" s="82"/>
      <c r="L165" s="32">
        <f t="shared" ref="L165:L166" si="685">SUM(D165-SUM(I165:K165))</f>
        <v>338</v>
      </c>
      <c r="M165" s="82"/>
      <c r="N165" s="82"/>
      <c r="O165" s="82"/>
      <c r="P165" s="32">
        <f t="shared" ref="P165:P166" si="686">SUM(E165-SUM(M165:O165))</f>
        <v>450</v>
      </c>
      <c r="Q165" s="82"/>
      <c r="R165" s="82"/>
      <c r="S165" s="82"/>
      <c r="T165" s="32">
        <f>SUM(F165-SUM(Q165:S165))</f>
        <v>259</v>
      </c>
      <c r="U165" s="82"/>
      <c r="V165" s="82"/>
      <c r="W165" s="82"/>
      <c r="X165" s="32">
        <f>SUM(G165-SUM(U165:W165))</f>
        <v>250</v>
      </c>
      <c r="Y165" s="82"/>
      <c r="Z165" s="82"/>
      <c r="AA165" s="82"/>
      <c r="AC165" s="32">
        <f t="shared" ref="AC165:AJ166" si="687">SUM(Q165:T165)</f>
        <v>259</v>
      </c>
      <c r="AD165" s="32">
        <f t="shared" si="687"/>
        <v>259</v>
      </c>
      <c r="AE165" s="32">
        <f t="shared" si="687"/>
        <v>259</v>
      </c>
      <c r="AF165" s="32">
        <f t="shared" si="687"/>
        <v>259</v>
      </c>
      <c r="AG165" s="32">
        <f t="shared" si="687"/>
        <v>250</v>
      </c>
      <c r="AH165" s="32">
        <f t="shared" si="687"/>
        <v>250</v>
      </c>
      <c r="AI165" s="32">
        <f t="shared" si="687"/>
        <v>250</v>
      </c>
      <c r="AJ165" s="32">
        <f t="shared" si="687"/>
        <v>250</v>
      </c>
      <c r="AK165" s="66"/>
      <c r="AL165" s="45"/>
    </row>
    <row r="166" spans="2:38" ht="12.75" customHeight="1">
      <c r="B166" s="8" t="s">
        <v>108</v>
      </c>
      <c r="C166" s="82">
        <v>207</v>
      </c>
      <c r="D166" s="82">
        <v>302</v>
      </c>
      <c r="E166" s="82">
        <v>662</v>
      </c>
      <c r="F166" s="82">
        <v>512</v>
      </c>
      <c r="G166" s="82">
        <v>656</v>
      </c>
      <c r="H166" s="32"/>
      <c r="I166" s="82"/>
      <c r="J166" s="82"/>
      <c r="K166" s="82"/>
      <c r="L166" s="32">
        <f t="shared" si="685"/>
        <v>302</v>
      </c>
      <c r="M166" s="82"/>
      <c r="N166" s="82"/>
      <c r="O166" s="82"/>
      <c r="P166" s="32">
        <f t="shared" si="686"/>
        <v>662</v>
      </c>
      <c r="Q166" s="82"/>
      <c r="R166" s="82"/>
      <c r="S166" s="82"/>
      <c r="T166" s="32">
        <f>SUM(F166-SUM(Q166:S166))</f>
        <v>512</v>
      </c>
      <c r="U166" s="82"/>
      <c r="V166" s="82"/>
      <c r="W166" s="82"/>
      <c r="X166" s="32">
        <f>SUM(G166-SUM(U166:W166))</f>
        <v>656</v>
      </c>
      <c r="Y166" s="82"/>
      <c r="Z166" s="82"/>
      <c r="AA166" s="82"/>
      <c r="AB166" s="32"/>
      <c r="AC166" s="32">
        <f t="shared" si="687"/>
        <v>512</v>
      </c>
      <c r="AD166" s="32">
        <f t="shared" si="687"/>
        <v>512</v>
      </c>
      <c r="AE166" s="32">
        <f t="shared" si="687"/>
        <v>512</v>
      </c>
      <c r="AF166" s="32">
        <f t="shared" si="687"/>
        <v>512</v>
      </c>
      <c r="AG166" s="32">
        <f t="shared" si="687"/>
        <v>656</v>
      </c>
      <c r="AH166" s="32">
        <f t="shared" si="687"/>
        <v>656</v>
      </c>
      <c r="AI166" s="32">
        <f t="shared" si="687"/>
        <v>656</v>
      </c>
      <c r="AJ166" s="32">
        <f t="shared" si="687"/>
        <v>656</v>
      </c>
      <c r="AK166" s="11"/>
      <c r="AL166" s="45"/>
    </row>
    <row r="167" spans="2:38" ht="5.0999999999999996" customHeight="1" thickBot="1">
      <c r="B167" s="73"/>
      <c r="C167" s="74"/>
      <c r="D167" s="74"/>
      <c r="E167" s="74"/>
      <c r="F167" s="74"/>
      <c r="G167" s="74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L167" s="45"/>
    </row>
    <row r="168" spans="2:38" ht="12.75" customHeight="1">
      <c r="B168" s="53"/>
      <c r="C168" s="67"/>
      <c r="D168" s="67"/>
      <c r="E168" s="67"/>
      <c r="F168" s="67"/>
      <c r="G168" s="67"/>
    </row>
    <row r="169" spans="2:38" ht="12.75" customHeight="1">
      <c r="C169" s="56"/>
      <c r="D169" s="56"/>
      <c r="E169" s="56"/>
      <c r="F169" s="56"/>
      <c r="G169" s="56"/>
    </row>
    <row r="170" spans="2:38" ht="12.75" customHeight="1"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</row>
    <row r="171" spans="2:38" ht="12.75" customHeight="1"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</row>
    <row r="172" spans="2:38" ht="12.75" customHeight="1"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</row>
    <row r="173" spans="2:38" ht="12.75" customHeight="1"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</row>
    <row r="174" spans="2:38" ht="12.75" customHeight="1"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86"/>
    </row>
    <row r="175" spans="2:38" ht="12.75" customHeight="1"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</row>
    <row r="176" spans="2:38" ht="12.75" customHeight="1"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86"/>
    </row>
    <row r="177" spans="3:22"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86"/>
    </row>
    <row r="178" spans="3:22"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86"/>
    </row>
    <row r="179" spans="3:22"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</row>
    <row r="180" spans="3:22"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86"/>
    </row>
    <row r="181" spans="3:22"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86"/>
    </row>
    <row r="182" spans="3:22"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</row>
    <row r="183" spans="3:22"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</row>
  </sheetData>
  <mergeCells count="3">
    <mergeCell ref="AL6:AL8"/>
    <mergeCell ref="AL48:AL50"/>
    <mergeCell ref="AL97:AL99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59 AC27:AG28 AC32:AJ33 AC11:AJ12" formulaRange="1"/>
    <ignoredError sqref="E27:G28 R27:AA28 R32:AA32 E32:G32 AJ131:AL133 AJ120:AL121 AK130 AJ122:AK122 AK134:AL134 R41:AA41 R44:AA44 T42 Y45:AA45 E41:H41 H34 E44:H44 H42 AC41:AJ41 AC44:AJ44 AC42:AJ42 AC45:AJ45 AC35:AJ35 E35:H35 R35:AA35 H43 H46 H45 X42:AA42" evalError="1"/>
    <ignoredError sqref="AC158:AJ158 AC157:AJ157" formula="1"/>
    <ignoredError sqref="AC34:AJ34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V53"/>
  <sheetViews>
    <sheetView showGridLines="0" topLeftCell="B1" zoomScaleNormal="100" workbookViewId="0">
      <selection activeCell="B46" sqref="B46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1" width="8.75" style="8" customWidth="1" outlineLevel="1"/>
    <col min="32" max="32" width="8.75" style="8" customWidth="1"/>
    <col min="33" max="35" width="8.75" style="8" customWidth="1" outlineLevel="1"/>
    <col min="36" max="36" width="8.75" style="8" customWidth="1"/>
    <col min="37" max="16384" width="9" style="8"/>
  </cols>
  <sheetData>
    <row r="2" spans="1:36" s="5" customFormat="1" ht="12.75" customHeight="1">
      <c r="B2" s="1" t="str">
        <f>'Historical Financials'!B2</f>
        <v xml:space="preserve">Boston Scientific Corp. (NYSE: BSX) 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/>
      <c r="AI2" s="2"/>
      <c r="AJ2" s="2"/>
    </row>
    <row r="3" spans="1:36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 t="shared" ref="AC3:AJ4" si="0">T3</f>
        <v>4Q23</v>
      </c>
      <c r="AD3" s="4" t="str">
        <f t="shared" si="0"/>
        <v>1Q24</v>
      </c>
      <c r="AE3" s="4" t="str">
        <f t="shared" si="0"/>
        <v>2Q24</v>
      </c>
      <c r="AF3" s="4" t="str">
        <f t="shared" si="0"/>
        <v>3Q24</v>
      </c>
      <c r="AG3" s="4" t="str">
        <f t="shared" si="0"/>
        <v>4Q24</v>
      </c>
      <c r="AH3" s="4" t="str">
        <f t="shared" si="0"/>
        <v>1Q25</v>
      </c>
      <c r="AI3" s="4" t="str">
        <f t="shared" si="0"/>
        <v>2Q25</v>
      </c>
      <c r="AJ3" s="4" t="str">
        <f t="shared" si="0"/>
        <v>3Q25</v>
      </c>
    </row>
    <row r="4" spans="1:36" s="5" customFormat="1" ht="12.75" customHeight="1">
      <c r="B4" s="6" t="s">
        <v>140</v>
      </c>
      <c r="C4" s="3">
        <f>'Historical Financials'!C8</f>
        <v>44196</v>
      </c>
      <c r="D4" s="3">
        <f>'Historical Financials'!D8</f>
        <v>44561</v>
      </c>
      <c r="E4" s="3">
        <f>'Historical Financials'!E8</f>
        <v>44926</v>
      </c>
      <c r="F4" s="3">
        <f>'Historical Financials'!F8</f>
        <v>45291</v>
      </c>
      <c r="G4" s="3">
        <f>'Historical Financials'!G8</f>
        <v>45657</v>
      </c>
      <c r="H4" s="3"/>
      <c r="I4" s="3">
        <f>'Historical Financials'!I8</f>
        <v>44286</v>
      </c>
      <c r="J4" s="3">
        <f>'Historical Financials'!J8</f>
        <v>44377</v>
      </c>
      <c r="K4" s="3">
        <f>'Historical Financials'!K8</f>
        <v>44469</v>
      </c>
      <c r="L4" s="3">
        <f>'Historical Financials'!L8</f>
        <v>44561</v>
      </c>
      <c r="M4" s="3">
        <f>'Historical Financials'!M8</f>
        <v>44651</v>
      </c>
      <c r="N4" s="3">
        <f>'Historical Financials'!N8</f>
        <v>44742</v>
      </c>
      <c r="O4" s="3">
        <f>'Historical Financials'!O8</f>
        <v>44834</v>
      </c>
      <c r="P4" s="3">
        <f>'Historical Financials'!P8</f>
        <v>44926</v>
      </c>
      <c r="Q4" s="3">
        <f>'Historical Financials'!Q8</f>
        <v>45016</v>
      </c>
      <c r="R4" s="3">
        <f>'Historical Financials'!R8</f>
        <v>45107</v>
      </c>
      <c r="S4" s="3">
        <f>'Historical Financials'!S8</f>
        <v>45199</v>
      </c>
      <c r="T4" s="3">
        <f>'Historical Financials'!T8</f>
        <v>45291</v>
      </c>
      <c r="U4" s="3">
        <f>'Historical Financials'!U8</f>
        <v>45382</v>
      </c>
      <c r="V4" s="3">
        <f>'Historical Financials'!V8</f>
        <v>45473</v>
      </c>
      <c r="W4" s="3">
        <f>'Historical Financials'!W8</f>
        <v>45565</v>
      </c>
      <c r="X4" s="3">
        <f>'Historical Financials'!X8</f>
        <v>45657</v>
      </c>
      <c r="Y4" s="3">
        <f>'Historical Financials'!Y8</f>
        <v>45747</v>
      </c>
      <c r="Z4" s="3">
        <f>'Historical Financials'!Z8</f>
        <v>45838</v>
      </c>
      <c r="AA4" s="3">
        <f>'Historical Financials'!AA8</f>
        <v>45930</v>
      </c>
      <c r="AB4" s="3"/>
      <c r="AC4" s="3">
        <f t="shared" si="0"/>
        <v>45291</v>
      </c>
      <c r="AD4" s="3">
        <f t="shared" si="0"/>
        <v>45382</v>
      </c>
      <c r="AE4" s="3">
        <f t="shared" si="0"/>
        <v>45473</v>
      </c>
      <c r="AF4" s="3">
        <f t="shared" si="0"/>
        <v>45565</v>
      </c>
      <c r="AG4" s="3">
        <f t="shared" si="0"/>
        <v>45657</v>
      </c>
      <c r="AH4" s="3">
        <f t="shared" si="0"/>
        <v>45747</v>
      </c>
      <c r="AI4" s="3">
        <f t="shared" si="0"/>
        <v>45838</v>
      </c>
      <c r="AJ4" s="3">
        <f t="shared" si="0"/>
        <v>45930</v>
      </c>
    </row>
    <row r="5" spans="1:36" ht="5.0999999999999996" customHeight="1"/>
    <row r="6" spans="1:36">
      <c r="A6" s="36" t="s">
        <v>16</v>
      </c>
      <c r="B6" s="1" t="s">
        <v>141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t="5.0999999999999996" customHeight="1"/>
    <row r="8" spans="1:36" ht="12.75" customHeight="1">
      <c r="A8" s="80" t="s">
        <v>16</v>
      </c>
      <c r="B8" s="78" t="s">
        <v>142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</row>
    <row r="9" spans="1:36">
      <c r="B9" s="9" t="s">
        <v>158</v>
      </c>
      <c r="C9" s="167">
        <f>C23</f>
        <v>3827</v>
      </c>
      <c r="D9" s="167">
        <f t="shared" ref="D9:G9" si="1">D23</f>
        <v>4633</v>
      </c>
      <c r="E9" s="167">
        <f t="shared" si="1"/>
        <v>4911</v>
      </c>
      <c r="F9" s="167">
        <f t="shared" si="1"/>
        <v>5422</v>
      </c>
      <c r="G9" s="167">
        <f t="shared" si="1"/>
        <v>5993</v>
      </c>
      <c r="H9" s="81"/>
      <c r="I9" s="167">
        <f t="shared" ref="I9:J9" si="2">I23</f>
        <v>1058</v>
      </c>
      <c r="J9" s="167">
        <f t="shared" si="2"/>
        <v>1195</v>
      </c>
      <c r="K9" s="167">
        <f t="shared" ref="K9:P9" si="3">K23</f>
        <v>1138</v>
      </c>
      <c r="L9" s="167">
        <f t="shared" si="3"/>
        <v>1242</v>
      </c>
      <c r="M9" s="167">
        <f t="shared" si="3"/>
        <v>1154</v>
      </c>
      <c r="N9" s="167">
        <f t="shared" si="3"/>
        <v>1249</v>
      </c>
      <c r="O9" s="167">
        <f t="shared" si="3"/>
        <v>1213</v>
      </c>
      <c r="P9" s="167">
        <f t="shared" si="3"/>
        <v>1295</v>
      </c>
      <c r="Q9" s="167">
        <f t="shared" ref="Q9:AA9" si="4">Q23</f>
        <v>1280</v>
      </c>
      <c r="R9" s="167">
        <f t="shared" si="4"/>
        <v>1359</v>
      </c>
      <c r="S9" s="167">
        <f t="shared" si="4"/>
        <v>1341</v>
      </c>
      <c r="T9" s="167">
        <f t="shared" si="4"/>
        <v>1442</v>
      </c>
      <c r="U9" s="167">
        <f t="shared" si="4"/>
        <v>1411</v>
      </c>
      <c r="V9" s="167">
        <f t="shared" si="4"/>
        <v>1482</v>
      </c>
      <c r="W9" s="167">
        <f t="shared" si="4"/>
        <v>1478</v>
      </c>
      <c r="X9" s="167">
        <f t="shared" si="4"/>
        <v>1622</v>
      </c>
      <c r="Y9" s="167">
        <f t="shared" si="4"/>
        <v>1577</v>
      </c>
      <c r="Z9" s="167">
        <f t="shared" si="4"/>
        <v>1716</v>
      </c>
      <c r="AA9" s="167">
        <f t="shared" si="4"/>
        <v>1722</v>
      </c>
      <c r="AB9" s="5"/>
      <c r="AC9" s="32">
        <f t="shared" ref="AC9:AC11" si="5">SUM(Q9:T9)</f>
        <v>5422</v>
      </c>
      <c r="AD9" s="32">
        <f t="shared" ref="AD9:AD11" si="6">SUM(R9:U9)</f>
        <v>5553</v>
      </c>
      <c r="AE9" s="32">
        <f t="shared" ref="AE9:AE11" si="7">SUM(S9:V9)</f>
        <v>5676</v>
      </c>
      <c r="AF9" s="32">
        <f t="shared" ref="AF9:AF11" si="8">SUM(T9:W9)</f>
        <v>5813</v>
      </c>
      <c r="AG9" s="32">
        <f t="shared" ref="AG9:AG11" si="9">SUM(U9:X9)</f>
        <v>5993</v>
      </c>
      <c r="AH9" s="32">
        <f t="shared" ref="AH9:AH11" si="10">SUM(V9:Y9)</f>
        <v>6159</v>
      </c>
      <c r="AI9" s="32">
        <f t="shared" ref="AI9:AI11" si="11">SUM(W9:Z9)</f>
        <v>6393</v>
      </c>
      <c r="AJ9" s="32">
        <f t="shared" ref="AJ9:AJ11" si="12">SUM(X9:AA9)</f>
        <v>6637</v>
      </c>
    </row>
    <row r="10" spans="1:36" ht="12.75" customHeight="1">
      <c r="A10" s="80"/>
      <c r="B10" s="9" t="s">
        <v>159</v>
      </c>
      <c r="C10" s="167">
        <f>C34</f>
        <v>4509</v>
      </c>
      <c r="D10" s="167">
        <f t="shared" ref="D10:G10" si="13">D34</f>
        <v>5422</v>
      </c>
      <c r="E10" s="167">
        <f t="shared" si="13"/>
        <v>5932</v>
      </c>
      <c r="F10" s="167">
        <f t="shared" si="13"/>
        <v>6709</v>
      </c>
      <c r="G10" s="167">
        <f t="shared" si="13"/>
        <v>8344</v>
      </c>
      <c r="H10" s="10"/>
      <c r="I10" s="167">
        <f t="shared" ref="I10:J10" si="14">I34</f>
        <v>1248</v>
      </c>
      <c r="J10" s="167">
        <f t="shared" si="14"/>
        <v>1409</v>
      </c>
      <c r="K10" s="167">
        <f t="shared" ref="K10:P10" si="15">K34</f>
        <v>1342</v>
      </c>
      <c r="L10" s="167">
        <f t="shared" si="15"/>
        <v>1423</v>
      </c>
      <c r="M10" s="167">
        <f t="shared" si="15"/>
        <v>1407</v>
      </c>
      <c r="N10" s="167">
        <f t="shared" si="15"/>
        <v>1517</v>
      </c>
      <c r="O10" s="167">
        <f t="shared" si="15"/>
        <v>1478</v>
      </c>
      <c r="P10" s="167">
        <f t="shared" si="15"/>
        <v>1530</v>
      </c>
      <c r="Q10" s="167">
        <f t="shared" ref="Q10:AA10" si="16">Q34</f>
        <v>1607</v>
      </c>
      <c r="R10" s="167">
        <f t="shared" si="16"/>
        <v>1705</v>
      </c>
      <c r="S10" s="167">
        <f t="shared" si="16"/>
        <v>1648</v>
      </c>
      <c r="T10" s="167">
        <f t="shared" si="16"/>
        <v>1749</v>
      </c>
      <c r="U10" s="167">
        <f t="shared" si="16"/>
        <v>1871</v>
      </c>
      <c r="V10" s="167">
        <f t="shared" si="16"/>
        <v>2048</v>
      </c>
      <c r="W10" s="167">
        <f t="shared" si="16"/>
        <v>2129</v>
      </c>
      <c r="X10" s="167">
        <f t="shared" si="16"/>
        <v>2296</v>
      </c>
      <c r="Y10" s="167">
        <f t="shared" si="16"/>
        <v>2429</v>
      </c>
      <c r="Z10" s="167">
        <f t="shared" si="16"/>
        <v>2647</v>
      </c>
      <c r="AA10" s="167">
        <f t="shared" si="16"/>
        <v>2641</v>
      </c>
      <c r="AB10" s="5"/>
      <c r="AC10" s="32">
        <f t="shared" si="5"/>
        <v>6709</v>
      </c>
      <c r="AD10" s="32">
        <f t="shared" si="6"/>
        <v>6973</v>
      </c>
      <c r="AE10" s="32">
        <f t="shared" si="7"/>
        <v>7316</v>
      </c>
      <c r="AF10" s="32">
        <f t="shared" si="8"/>
        <v>7797</v>
      </c>
      <c r="AG10" s="32">
        <f t="shared" si="9"/>
        <v>8344</v>
      </c>
      <c r="AH10" s="32">
        <f t="shared" si="10"/>
        <v>8902</v>
      </c>
      <c r="AI10" s="32">
        <f t="shared" si="11"/>
        <v>9501</v>
      </c>
      <c r="AJ10" s="32">
        <f t="shared" si="12"/>
        <v>10013</v>
      </c>
    </row>
    <row r="11" spans="1:36">
      <c r="B11" s="9" t="s">
        <v>160</v>
      </c>
      <c r="C11" s="81">
        <v>1577</v>
      </c>
      <c r="D11" s="81">
        <v>1820</v>
      </c>
      <c r="E11" s="81">
        <v>1899</v>
      </c>
      <c r="F11" s="81">
        <v>2109</v>
      </c>
      <c r="G11" s="81">
        <v>2410</v>
      </c>
      <c r="H11" s="81"/>
      <c r="I11" s="95">
        <v>433</v>
      </c>
      <c r="J11" s="95">
        <v>433</v>
      </c>
      <c r="K11" s="95">
        <v>433</v>
      </c>
      <c r="L11" s="95">
        <v>433</v>
      </c>
      <c r="M11" s="95">
        <v>433</v>
      </c>
      <c r="N11" s="95">
        <v>433</v>
      </c>
      <c r="O11" s="95">
        <v>433</v>
      </c>
      <c r="P11" s="95">
        <v>433</v>
      </c>
      <c r="Q11" s="95">
        <v>433</v>
      </c>
      <c r="R11" s="95">
        <v>473</v>
      </c>
      <c r="S11" s="95">
        <v>452</v>
      </c>
      <c r="T11" s="32">
        <v>462</v>
      </c>
      <c r="U11" s="95">
        <v>465</v>
      </c>
      <c r="V11" s="95">
        <v>478</v>
      </c>
      <c r="W11" s="95">
        <v>479</v>
      </c>
      <c r="X11" s="32">
        <v>477</v>
      </c>
      <c r="Y11" s="82">
        <v>502</v>
      </c>
      <c r="Z11" s="82">
        <v>535</v>
      </c>
      <c r="AA11" s="81">
        <v>538</v>
      </c>
      <c r="AB11" s="5"/>
      <c r="AC11" s="32">
        <f t="shared" si="5"/>
        <v>1820</v>
      </c>
      <c r="AD11" s="32">
        <f t="shared" si="6"/>
        <v>1852</v>
      </c>
      <c r="AE11" s="32">
        <f t="shared" si="7"/>
        <v>1857</v>
      </c>
      <c r="AF11" s="32">
        <f t="shared" si="8"/>
        <v>1884</v>
      </c>
      <c r="AG11" s="32">
        <f t="shared" si="9"/>
        <v>1899</v>
      </c>
      <c r="AH11" s="32">
        <f t="shared" si="10"/>
        <v>1936</v>
      </c>
      <c r="AI11" s="32">
        <f t="shared" si="11"/>
        <v>1993</v>
      </c>
      <c r="AJ11" s="32">
        <f t="shared" si="12"/>
        <v>2052</v>
      </c>
    </row>
    <row r="12" spans="1:36">
      <c r="B12" s="13" t="s">
        <v>65</v>
      </c>
      <c r="C12" s="14">
        <f t="shared" ref="C12:D12" si="17">SUM(C9:C11)</f>
        <v>9913</v>
      </c>
      <c r="D12" s="14">
        <f t="shared" si="17"/>
        <v>11875</v>
      </c>
      <c r="E12" s="14">
        <f>SUM(E9:E11)</f>
        <v>12742</v>
      </c>
      <c r="F12" s="14">
        <f>SUM(F9:F11)</f>
        <v>14240</v>
      </c>
      <c r="G12" s="14">
        <f>SUM(G9:G11)</f>
        <v>16747</v>
      </c>
      <c r="H12" s="11"/>
      <c r="I12" s="14">
        <f t="shared" ref="I12" si="18">SUM(I9:I11)</f>
        <v>2739</v>
      </c>
      <c r="J12" s="14">
        <f t="shared" ref="J12" si="19">SUM(J9:J11)</f>
        <v>3037</v>
      </c>
      <c r="K12" s="14">
        <f t="shared" ref="K12:P12" si="20">SUM(K9:K11)</f>
        <v>2913</v>
      </c>
      <c r="L12" s="14">
        <f t="shared" si="20"/>
        <v>3098</v>
      </c>
      <c r="M12" s="14">
        <f t="shared" si="20"/>
        <v>2994</v>
      </c>
      <c r="N12" s="14">
        <f t="shared" si="20"/>
        <v>3199</v>
      </c>
      <c r="O12" s="14">
        <f t="shared" si="20"/>
        <v>3124</v>
      </c>
      <c r="P12" s="14">
        <f t="shared" si="20"/>
        <v>3258</v>
      </c>
      <c r="Q12" s="14">
        <f t="shared" ref="Q12:AA12" si="21">SUM(Q9:Q11)</f>
        <v>3320</v>
      </c>
      <c r="R12" s="14">
        <f t="shared" si="21"/>
        <v>3537</v>
      </c>
      <c r="S12" s="14">
        <f t="shared" si="21"/>
        <v>3441</v>
      </c>
      <c r="T12" s="14">
        <f t="shared" si="21"/>
        <v>3653</v>
      </c>
      <c r="U12" s="14">
        <f t="shared" si="21"/>
        <v>3747</v>
      </c>
      <c r="V12" s="14">
        <f t="shared" si="21"/>
        <v>4008</v>
      </c>
      <c r="W12" s="14">
        <f t="shared" si="21"/>
        <v>4086</v>
      </c>
      <c r="X12" s="14">
        <f t="shared" si="21"/>
        <v>4395</v>
      </c>
      <c r="Y12" s="14">
        <f t="shared" si="21"/>
        <v>4508</v>
      </c>
      <c r="Z12" s="14">
        <f t="shared" si="21"/>
        <v>4898</v>
      </c>
      <c r="AA12" s="14">
        <f t="shared" si="21"/>
        <v>4901</v>
      </c>
      <c r="AB12" s="5"/>
      <c r="AC12" s="14">
        <f t="shared" ref="AC12:AJ12" si="22">SUM(AC9:AC11)</f>
        <v>13951</v>
      </c>
      <c r="AD12" s="14">
        <f t="shared" si="22"/>
        <v>14378</v>
      </c>
      <c r="AE12" s="14">
        <f t="shared" si="22"/>
        <v>14849</v>
      </c>
      <c r="AF12" s="14">
        <f t="shared" si="22"/>
        <v>15494</v>
      </c>
      <c r="AG12" s="14">
        <f t="shared" si="22"/>
        <v>16236</v>
      </c>
      <c r="AH12" s="14">
        <f t="shared" si="22"/>
        <v>16997</v>
      </c>
      <c r="AI12" s="14">
        <f t="shared" si="22"/>
        <v>17887</v>
      </c>
      <c r="AJ12" s="14">
        <f t="shared" si="22"/>
        <v>18702</v>
      </c>
    </row>
    <row r="13" spans="1:36" outlineLevel="1">
      <c r="B13" s="131" t="s">
        <v>143</v>
      </c>
      <c r="C13" s="79">
        <f>C12-'Historical Financials'!C11</f>
        <v>0</v>
      </c>
      <c r="D13" s="79">
        <f>D12-'Historical Financials'!D11</f>
        <v>-13</v>
      </c>
      <c r="E13" s="79">
        <f>E12-'Historical Financials'!E11</f>
        <v>60</v>
      </c>
      <c r="F13" s="79">
        <f>F12-'Historical Financials'!F11</f>
        <v>0</v>
      </c>
      <c r="G13" s="79">
        <f>G12-'Historical Financials'!G11</f>
        <v>0</v>
      </c>
      <c r="H13" s="11"/>
      <c r="I13" s="79">
        <f>I12-'Historical Financials'!I11</f>
        <v>-13</v>
      </c>
      <c r="J13" s="79">
        <f>J12-'Historical Financials'!J11</f>
        <v>-40</v>
      </c>
      <c r="K13" s="79">
        <f>K12-'Historical Financials'!K11</f>
        <v>-19</v>
      </c>
      <c r="L13" s="79">
        <f>L12-'Historical Financials'!L11</f>
        <v>-29</v>
      </c>
      <c r="M13" s="79">
        <f>M12-'Historical Financials'!M11</f>
        <v>-32</v>
      </c>
      <c r="N13" s="79">
        <f>N12-'Historical Financials'!N11</f>
        <v>-45</v>
      </c>
      <c r="O13" s="79">
        <f>O12-'Historical Financials'!O11</f>
        <v>-46</v>
      </c>
      <c r="P13" s="79">
        <f>P12-'Historical Financials'!P11</f>
        <v>16</v>
      </c>
      <c r="Q13" s="79">
        <f>Q12-'Historical Financials'!Q11</f>
        <v>-69</v>
      </c>
      <c r="R13" s="79">
        <f>R12-'Historical Financials'!R11</f>
        <v>-62</v>
      </c>
      <c r="S13" s="79">
        <f>S12-'Historical Financials'!S11</f>
        <v>-86</v>
      </c>
      <c r="T13" s="79">
        <f>T12-'Historical Financials'!T11</f>
        <v>-72</v>
      </c>
      <c r="U13" s="79">
        <f>U12-'Historical Financials'!U11</f>
        <v>-110</v>
      </c>
      <c r="V13" s="79">
        <f>V12-'Historical Financials'!V11</f>
        <v>-112</v>
      </c>
      <c r="W13" s="79">
        <f>W12-'Historical Financials'!W11</f>
        <v>-123</v>
      </c>
      <c r="X13" s="79">
        <f>X12-'Historical Financials'!X11</f>
        <v>-166</v>
      </c>
      <c r="Y13" s="79">
        <f>Y12-'Historical Financials'!Y11</f>
        <v>-155</v>
      </c>
      <c r="Z13" s="79">
        <f>Z12-'Historical Financials'!Z11</f>
        <v>-163</v>
      </c>
      <c r="AA13" s="79">
        <f>AA12-'Historical Financials'!AA11</f>
        <v>-164</v>
      </c>
      <c r="AB13" s="79"/>
      <c r="AC13" s="79">
        <f>AC12-'Historical Financials'!AE11</f>
        <v>-1278</v>
      </c>
      <c r="AD13" s="79">
        <f>AD12-'Historical Financials'!AF11</f>
        <v>-1533</v>
      </c>
      <c r="AE13" s="79">
        <f>AE12-'Historical Financials'!AG11</f>
        <v>-1898</v>
      </c>
      <c r="AF13" s="79">
        <f>AF12-'Historical Financials'!AH11</f>
        <v>-2059</v>
      </c>
      <c r="AG13" s="79">
        <f>AG12-'Historical Financials'!AI11</f>
        <v>-2258</v>
      </c>
      <c r="AH13" s="79">
        <f>AH12-'Historical Financials'!AJ11</f>
        <v>-2353</v>
      </c>
      <c r="AI13" s="79">
        <f>AI12-'Historical Financials'!AK11</f>
        <v>17887</v>
      </c>
      <c r="AJ13" s="79">
        <f>AJ12-'Historical Financials'!AL11</f>
        <v>18701.783860222487</v>
      </c>
    </row>
    <row r="14" spans="1:36">
      <c r="B14" s="18"/>
      <c r="C14" s="19"/>
      <c r="D14" s="19"/>
      <c r="E14" s="19"/>
      <c r="F14" s="19"/>
      <c r="G14" s="19"/>
      <c r="H14" s="20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2"/>
      <c r="U14" s="21"/>
      <c r="V14" s="21"/>
      <c r="W14" s="21"/>
      <c r="X14" s="21"/>
      <c r="Y14" s="21"/>
      <c r="Z14" s="21"/>
      <c r="AA14" s="21"/>
      <c r="AB14" s="20"/>
      <c r="AC14" s="20"/>
      <c r="AD14" s="20"/>
      <c r="AE14" s="20"/>
      <c r="AF14" s="20"/>
      <c r="AG14" s="20"/>
      <c r="AH14" s="20"/>
      <c r="AI14" s="20"/>
      <c r="AJ14" s="20"/>
    </row>
    <row r="15" spans="1:36">
      <c r="B15" s="152" t="str">
        <f>B9&amp;"(%)"</f>
        <v>MedSurg (%)</v>
      </c>
      <c r="C15" s="153">
        <f t="shared" ref="C15:D15" si="23">SUM(C9/C$12)</f>
        <v>0.3860587107838192</v>
      </c>
      <c r="D15" s="153">
        <f t="shared" si="23"/>
        <v>0.39014736842105263</v>
      </c>
      <c r="E15" s="153">
        <f t="shared" ref="E15:G17" si="24">SUM(E9/E$12)</f>
        <v>0.38541830167948515</v>
      </c>
      <c r="F15" s="153">
        <f t="shared" si="24"/>
        <v>0.38075842696629214</v>
      </c>
      <c r="G15" s="153">
        <f t="shared" si="24"/>
        <v>0.35785513823371351</v>
      </c>
      <c r="H15" s="154"/>
      <c r="I15" s="153">
        <f t="shared" ref="I15:J15" si="25">SUM(I9/I$12)</f>
        <v>0.38627236217597666</v>
      </c>
      <c r="J15" s="153">
        <f t="shared" si="25"/>
        <v>0.39348040829766218</v>
      </c>
      <c r="K15" s="153">
        <f t="shared" ref="K15:P15" si="26">SUM(K9/K$12)</f>
        <v>0.39066254720219706</v>
      </c>
      <c r="L15" s="153">
        <f t="shared" si="26"/>
        <v>0.40090380890897354</v>
      </c>
      <c r="M15" s="153">
        <f t="shared" si="26"/>
        <v>0.38543754175016698</v>
      </c>
      <c r="N15" s="153">
        <f t="shared" si="26"/>
        <v>0.39043451078462021</v>
      </c>
      <c r="O15" s="153">
        <f t="shared" si="26"/>
        <v>0.38828425096030728</v>
      </c>
      <c r="P15" s="153">
        <f t="shared" si="26"/>
        <v>0.3974831184775936</v>
      </c>
      <c r="Q15" s="153">
        <f t="shared" ref="Q15:AA15" si="27">SUM(Q9/Q$12)</f>
        <v>0.38554216867469882</v>
      </c>
      <c r="R15" s="153">
        <f t="shared" si="27"/>
        <v>0.38422391857506361</v>
      </c>
      <c r="S15" s="153">
        <f t="shared" si="27"/>
        <v>0.38971229293809939</v>
      </c>
      <c r="T15" s="153">
        <f t="shared" si="27"/>
        <v>0.39474404598959761</v>
      </c>
      <c r="U15" s="153">
        <f t="shared" si="27"/>
        <v>0.37656792100346942</v>
      </c>
      <c r="V15" s="153">
        <f t="shared" si="27"/>
        <v>0.36976047904191617</v>
      </c>
      <c r="W15" s="153">
        <f t="shared" si="27"/>
        <v>0.36172295643661284</v>
      </c>
      <c r="X15" s="153">
        <f t="shared" si="27"/>
        <v>0.3690557451649602</v>
      </c>
      <c r="Y15" s="153">
        <f t="shared" si="27"/>
        <v>0.34982253771073646</v>
      </c>
      <c r="Z15" s="153">
        <f t="shared" si="27"/>
        <v>0.35034708044099633</v>
      </c>
      <c r="AA15" s="153">
        <f t="shared" si="27"/>
        <v>0.35135686594572535</v>
      </c>
      <c r="AB15" s="154"/>
      <c r="AC15" s="155">
        <f t="shared" ref="AC15:AC17" si="28">T15</f>
        <v>0.39474404598959761</v>
      </c>
      <c r="AD15" s="155">
        <f t="shared" ref="AD15:AD17" si="29">U15</f>
        <v>0.37656792100346942</v>
      </c>
      <c r="AE15" s="155">
        <f t="shared" ref="AE15:AE17" si="30">V15</f>
        <v>0.36976047904191617</v>
      </c>
      <c r="AF15" s="155">
        <f t="shared" ref="AF15:AF17" si="31">W15</f>
        <v>0.36172295643661284</v>
      </c>
      <c r="AG15" s="155">
        <f t="shared" ref="AG15:AG17" si="32">X15</f>
        <v>0.3690557451649602</v>
      </c>
      <c r="AH15" s="155">
        <f t="shared" ref="AH15:AH17" si="33">Y15</f>
        <v>0.34982253771073646</v>
      </c>
      <c r="AI15" s="155">
        <f t="shared" ref="AI15:AI17" si="34">Z15</f>
        <v>0.35034708044099633</v>
      </c>
      <c r="AJ15" s="156">
        <f t="shared" ref="AJ15:AJ17" si="35">AA15</f>
        <v>0.35135686594572535</v>
      </c>
    </row>
    <row r="16" spans="1:36">
      <c r="B16" s="162" t="str">
        <f>B10&amp;"(%)"</f>
        <v>Cardiology(%)</v>
      </c>
      <c r="C16" s="163">
        <f t="shared" ref="C16:D16" si="36">SUM(C10/C$12)</f>
        <v>0.45485725814586908</v>
      </c>
      <c r="D16" s="163">
        <f t="shared" si="36"/>
        <v>0.45658947368421055</v>
      </c>
      <c r="E16" s="163">
        <f t="shared" si="24"/>
        <v>0.46554700988855752</v>
      </c>
      <c r="F16" s="163">
        <f t="shared" si="24"/>
        <v>0.47113764044943818</v>
      </c>
      <c r="G16" s="163">
        <f t="shared" si="24"/>
        <v>0.49823849047590613</v>
      </c>
      <c r="H16" s="164"/>
      <c r="I16" s="163">
        <f t="shared" ref="I16:J16" si="37">SUM(I10/I$12)</f>
        <v>0.45564074479737132</v>
      </c>
      <c r="J16" s="163">
        <f t="shared" si="37"/>
        <v>0.46394468225222257</v>
      </c>
      <c r="K16" s="163">
        <f t="shared" ref="K16:P16" si="38">SUM(K10/K$12)</f>
        <v>0.4606934431857192</v>
      </c>
      <c r="L16" s="163">
        <f t="shared" si="38"/>
        <v>0.45932859909619111</v>
      </c>
      <c r="M16" s="163">
        <f t="shared" si="38"/>
        <v>0.46993987975951906</v>
      </c>
      <c r="N16" s="163">
        <f t="shared" si="38"/>
        <v>0.47421069084088779</v>
      </c>
      <c r="O16" s="163">
        <f t="shared" si="38"/>
        <v>0.47311139564660692</v>
      </c>
      <c r="P16" s="163">
        <f t="shared" si="38"/>
        <v>0.46961325966850831</v>
      </c>
      <c r="Q16" s="163">
        <f t="shared" ref="Q16:AA16" si="39">SUM(Q10/Q$12)</f>
        <v>0.48403614457831323</v>
      </c>
      <c r="R16" s="163">
        <f t="shared" si="39"/>
        <v>0.4820469324286118</v>
      </c>
      <c r="S16" s="163">
        <f t="shared" si="39"/>
        <v>0.47893054344667246</v>
      </c>
      <c r="T16" s="163">
        <f t="shared" si="39"/>
        <v>0.47878456063509445</v>
      </c>
      <c r="U16" s="163">
        <f t="shared" si="39"/>
        <v>0.4993327995729917</v>
      </c>
      <c r="V16" s="163">
        <f t="shared" si="39"/>
        <v>0.51097804391217561</v>
      </c>
      <c r="W16" s="163">
        <f t="shared" si="39"/>
        <v>0.52104747919725891</v>
      </c>
      <c r="X16" s="163">
        <f t="shared" si="39"/>
        <v>0.52241183162684868</v>
      </c>
      <c r="Y16" s="163">
        <f t="shared" si="39"/>
        <v>0.53881987577639756</v>
      </c>
      <c r="Z16" s="163">
        <f t="shared" si="39"/>
        <v>0.54042466312780724</v>
      </c>
      <c r="AA16" s="163">
        <f t="shared" si="39"/>
        <v>0.5388696184452153</v>
      </c>
      <c r="AB16" s="164"/>
      <c r="AC16" s="165">
        <f t="shared" ref="AC16" si="40">T16</f>
        <v>0.47878456063509445</v>
      </c>
      <c r="AD16" s="165">
        <f t="shared" ref="AD16" si="41">U16</f>
        <v>0.4993327995729917</v>
      </c>
      <c r="AE16" s="165">
        <f t="shared" ref="AE16" si="42">V16</f>
        <v>0.51097804391217561</v>
      </c>
      <c r="AF16" s="165">
        <f t="shared" ref="AF16" si="43">W16</f>
        <v>0.52104747919725891</v>
      </c>
      <c r="AG16" s="165">
        <f t="shared" ref="AG16" si="44">X16</f>
        <v>0.52241183162684868</v>
      </c>
      <c r="AH16" s="165">
        <f t="shared" ref="AH16" si="45">Y16</f>
        <v>0.53881987577639756</v>
      </c>
      <c r="AI16" s="165">
        <f t="shared" ref="AI16" si="46">Z16</f>
        <v>0.54042466312780724</v>
      </c>
      <c r="AJ16" s="166">
        <f t="shared" ref="AJ16" si="47">AA16</f>
        <v>0.5388696184452153</v>
      </c>
    </row>
    <row r="17" spans="1:36" ht="12.75" customHeight="1">
      <c r="B17" s="157" t="str">
        <f>B11&amp;"(%)"</f>
        <v>Peripheral Interventions(%)</v>
      </c>
      <c r="C17" s="158">
        <f t="shared" ref="C17:D17" si="48">SUM(C11/C$12)</f>
        <v>0.15908403107031172</v>
      </c>
      <c r="D17" s="158">
        <f t="shared" si="48"/>
        <v>0.15326315789473685</v>
      </c>
      <c r="E17" s="158">
        <f t="shared" si="24"/>
        <v>0.1490346884319573</v>
      </c>
      <c r="F17" s="158">
        <f t="shared" si="24"/>
        <v>0.14810393258426965</v>
      </c>
      <c r="G17" s="158">
        <f t="shared" si="24"/>
        <v>0.14390637129038036</v>
      </c>
      <c r="H17" s="159"/>
      <c r="I17" s="158">
        <f t="shared" ref="I17:J17" si="49">SUM(I11/I$12)</f>
        <v>0.15808689302665208</v>
      </c>
      <c r="J17" s="158">
        <f t="shared" si="49"/>
        <v>0.14257490945011525</v>
      </c>
      <c r="K17" s="158">
        <f t="shared" ref="K17:P17" si="50">SUM(K11/K$12)</f>
        <v>0.14864400961208377</v>
      </c>
      <c r="L17" s="158">
        <f t="shared" si="50"/>
        <v>0.13976759199483538</v>
      </c>
      <c r="M17" s="158">
        <f t="shared" si="50"/>
        <v>0.14462257849031396</v>
      </c>
      <c r="N17" s="158">
        <f t="shared" si="50"/>
        <v>0.13535479837449202</v>
      </c>
      <c r="O17" s="158">
        <f t="shared" si="50"/>
        <v>0.1386043533930858</v>
      </c>
      <c r="P17" s="158">
        <f t="shared" si="50"/>
        <v>0.13290362185389809</v>
      </c>
      <c r="Q17" s="158">
        <f t="shared" ref="Q17:AA17" si="51">SUM(Q11/Q$12)</f>
        <v>0.13042168674698795</v>
      </c>
      <c r="R17" s="158">
        <f t="shared" si="51"/>
        <v>0.13372914899632457</v>
      </c>
      <c r="S17" s="158">
        <f t="shared" si="51"/>
        <v>0.13135716361522815</v>
      </c>
      <c r="T17" s="158">
        <f t="shared" si="51"/>
        <v>0.12647139337530797</v>
      </c>
      <c r="U17" s="158">
        <f t="shared" si="51"/>
        <v>0.12409927942353884</v>
      </c>
      <c r="V17" s="158">
        <f t="shared" si="51"/>
        <v>0.11926147704590818</v>
      </c>
      <c r="W17" s="158">
        <f t="shared" si="51"/>
        <v>0.11722956436612825</v>
      </c>
      <c r="X17" s="158">
        <f t="shared" si="51"/>
        <v>0.10853242320819112</v>
      </c>
      <c r="Y17" s="158">
        <f t="shared" si="51"/>
        <v>0.11135758651286602</v>
      </c>
      <c r="Z17" s="158">
        <f t="shared" si="51"/>
        <v>0.10922825643119641</v>
      </c>
      <c r="AA17" s="158">
        <f t="shared" si="51"/>
        <v>0.10977351560905937</v>
      </c>
      <c r="AB17" s="159"/>
      <c r="AC17" s="160">
        <f t="shared" si="28"/>
        <v>0.12647139337530797</v>
      </c>
      <c r="AD17" s="160">
        <f t="shared" si="29"/>
        <v>0.12409927942353884</v>
      </c>
      <c r="AE17" s="160">
        <f t="shared" si="30"/>
        <v>0.11926147704590818</v>
      </c>
      <c r="AF17" s="160">
        <f t="shared" si="31"/>
        <v>0.11722956436612825</v>
      </c>
      <c r="AG17" s="160">
        <f t="shared" si="32"/>
        <v>0.10853242320819112</v>
      </c>
      <c r="AH17" s="160">
        <f t="shared" si="33"/>
        <v>0.11135758651286602</v>
      </c>
      <c r="AI17" s="160">
        <f t="shared" si="34"/>
        <v>0.10922825643119641</v>
      </c>
      <c r="AJ17" s="161">
        <f t="shared" si="35"/>
        <v>0.10977351560905937</v>
      </c>
    </row>
    <row r="18" spans="1:36">
      <c r="B18" s="18"/>
      <c r="C18" s="19"/>
      <c r="D18" s="19"/>
      <c r="E18" s="19"/>
      <c r="F18" s="19"/>
      <c r="G18" s="19"/>
      <c r="H18" s="20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2"/>
      <c r="U18" s="21"/>
      <c r="V18" s="21"/>
      <c r="W18" s="21"/>
      <c r="X18" s="21"/>
      <c r="Y18" s="21"/>
      <c r="Z18" s="21"/>
      <c r="AA18" s="21"/>
      <c r="AB18" s="20"/>
      <c r="AC18" s="20"/>
      <c r="AD18" s="20"/>
      <c r="AE18" s="20"/>
      <c r="AF18" s="20"/>
      <c r="AG18" s="20"/>
      <c r="AH18" s="20"/>
      <c r="AI18" s="20"/>
      <c r="AJ18" s="20"/>
    </row>
    <row r="19" spans="1:36" ht="12.75" customHeight="1">
      <c r="A19" s="80" t="s">
        <v>16</v>
      </c>
      <c r="B19" s="78" t="s">
        <v>171</v>
      </c>
      <c r="C19" s="10"/>
      <c r="D19" s="10"/>
      <c r="E19" s="10"/>
      <c r="F19" s="10"/>
      <c r="G19" s="10"/>
      <c r="H19" s="1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32"/>
      <c r="U19" s="95"/>
      <c r="V19" s="95"/>
      <c r="W19" s="95"/>
      <c r="X19" s="32"/>
      <c r="Y19" s="95"/>
      <c r="Z19" s="95"/>
      <c r="AA19" s="95"/>
      <c r="AB19" s="5"/>
      <c r="AC19" s="11"/>
      <c r="AD19" s="11"/>
      <c r="AE19" s="11"/>
      <c r="AF19" s="11"/>
      <c r="AG19" s="11"/>
      <c r="AH19" s="11"/>
      <c r="AI19" s="11"/>
      <c r="AJ19" s="11"/>
    </row>
    <row r="20" spans="1:36" ht="12.75" customHeight="1">
      <c r="A20" s="80"/>
      <c r="B20" s="9" t="s">
        <v>164</v>
      </c>
      <c r="C20" s="81">
        <v>1780</v>
      </c>
      <c r="D20" s="81">
        <v>2141</v>
      </c>
      <c r="E20" s="81">
        <v>2221</v>
      </c>
      <c r="F20" s="81">
        <v>2482</v>
      </c>
      <c r="G20" s="81">
        <v>2687</v>
      </c>
      <c r="H20" s="10"/>
      <c r="I20" s="95">
        <v>499</v>
      </c>
      <c r="J20" s="95">
        <v>551</v>
      </c>
      <c r="K20" s="95">
        <v>533</v>
      </c>
      <c r="L20" s="24">
        <v>558</v>
      </c>
      <c r="M20" s="95">
        <v>532</v>
      </c>
      <c r="N20" s="95">
        <v>561</v>
      </c>
      <c r="O20" s="95">
        <v>559</v>
      </c>
      <c r="P20" s="24">
        <v>569</v>
      </c>
      <c r="Q20" s="95">
        <v>577</v>
      </c>
      <c r="R20" s="95">
        <v>630</v>
      </c>
      <c r="S20" s="95">
        <v>629</v>
      </c>
      <c r="T20" s="32">
        <v>646</v>
      </c>
      <c r="U20" s="95">
        <v>642</v>
      </c>
      <c r="V20" s="95">
        <v>675</v>
      </c>
      <c r="W20" s="95">
        <v>678</v>
      </c>
      <c r="X20" s="32">
        <v>692</v>
      </c>
      <c r="Y20" s="82">
        <v>673</v>
      </c>
      <c r="Z20" s="82">
        <v>737</v>
      </c>
      <c r="AA20" s="81">
        <v>747</v>
      </c>
      <c r="AB20" s="5"/>
      <c r="AC20" s="32">
        <f t="shared" ref="AC20:AC22" si="52">SUM(Q20:T20)</f>
        <v>2482</v>
      </c>
      <c r="AD20" s="32">
        <f t="shared" ref="AD20:AD22" si="53">SUM(R20:U20)</f>
        <v>2547</v>
      </c>
      <c r="AE20" s="32">
        <f t="shared" ref="AE20:AE22" si="54">SUM(S20:V20)</f>
        <v>2592</v>
      </c>
      <c r="AF20" s="32">
        <f t="shared" ref="AF20:AF22" si="55">SUM(T20:W20)</f>
        <v>2641</v>
      </c>
      <c r="AG20" s="32">
        <f t="shared" ref="AG20:AG22" si="56">SUM(U20:X20)</f>
        <v>2687</v>
      </c>
      <c r="AH20" s="32">
        <f t="shared" ref="AH20:AH22" si="57">SUM(V20:Y20)</f>
        <v>2718</v>
      </c>
      <c r="AI20" s="32">
        <f t="shared" ref="AI20:AI22" si="58">SUM(W20:Z20)</f>
        <v>2780</v>
      </c>
      <c r="AJ20" s="32">
        <f t="shared" ref="AJ20:AJ22" si="59">SUM(X20:AA20)</f>
        <v>2849</v>
      </c>
    </row>
    <row r="21" spans="1:36" ht="12.75" customHeight="1">
      <c r="A21" s="80"/>
      <c r="B21" s="9" t="s">
        <v>165</v>
      </c>
      <c r="C21" s="81">
        <v>1286</v>
      </c>
      <c r="D21" s="81">
        <v>1583</v>
      </c>
      <c r="E21" s="81">
        <v>1773</v>
      </c>
      <c r="F21" s="81">
        <v>1964</v>
      </c>
      <c r="G21" s="81">
        <v>2200</v>
      </c>
      <c r="H21" s="10"/>
      <c r="I21" s="95">
        <v>361</v>
      </c>
      <c r="J21" s="95">
        <v>397</v>
      </c>
      <c r="K21" s="95">
        <v>384</v>
      </c>
      <c r="L21" s="24">
        <v>441</v>
      </c>
      <c r="M21" s="95">
        <v>413</v>
      </c>
      <c r="N21" s="95">
        <v>450</v>
      </c>
      <c r="O21" s="95">
        <v>433</v>
      </c>
      <c r="P21" s="24">
        <v>477</v>
      </c>
      <c r="Q21" s="95">
        <v>469</v>
      </c>
      <c r="R21" s="95">
        <v>485</v>
      </c>
      <c r="S21" s="95">
        <v>483</v>
      </c>
      <c r="T21" s="32">
        <v>527</v>
      </c>
      <c r="U21" s="95">
        <v>513</v>
      </c>
      <c r="V21" s="95">
        <v>525</v>
      </c>
      <c r="W21" s="95">
        <v>532</v>
      </c>
      <c r="X21" s="32">
        <v>630</v>
      </c>
      <c r="Y21" s="82">
        <v>633</v>
      </c>
      <c r="Z21" s="82">
        <v>676</v>
      </c>
      <c r="AA21" s="81">
        <v>682</v>
      </c>
      <c r="AB21" s="5"/>
      <c r="AC21" s="32">
        <f t="shared" si="52"/>
        <v>1964</v>
      </c>
      <c r="AD21" s="32">
        <f t="shared" si="53"/>
        <v>2008</v>
      </c>
      <c r="AE21" s="32">
        <f t="shared" si="54"/>
        <v>2048</v>
      </c>
      <c r="AF21" s="32">
        <f t="shared" si="55"/>
        <v>2097</v>
      </c>
      <c r="AG21" s="32">
        <f t="shared" si="56"/>
        <v>2200</v>
      </c>
      <c r="AH21" s="32">
        <f t="shared" si="57"/>
        <v>2320</v>
      </c>
      <c r="AI21" s="32">
        <f t="shared" si="58"/>
        <v>2471</v>
      </c>
      <c r="AJ21" s="32">
        <f t="shared" si="59"/>
        <v>2621</v>
      </c>
    </row>
    <row r="22" spans="1:36">
      <c r="B22" s="9" t="s">
        <v>156</v>
      </c>
      <c r="C22" s="81">
        <v>761</v>
      </c>
      <c r="D22" s="81">
        <v>909</v>
      </c>
      <c r="E22" s="81">
        <v>917</v>
      </c>
      <c r="F22" s="81">
        <v>976</v>
      </c>
      <c r="G22" s="81">
        <v>1106</v>
      </c>
      <c r="H22" s="81"/>
      <c r="I22" s="95">
        <v>198</v>
      </c>
      <c r="J22" s="95">
        <v>247</v>
      </c>
      <c r="K22" s="95">
        <v>221</v>
      </c>
      <c r="L22" s="24">
        <v>243</v>
      </c>
      <c r="M22" s="95">
        <v>209</v>
      </c>
      <c r="N22" s="95">
        <v>238</v>
      </c>
      <c r="O22" s="95">
        <v>221</v>
      </c>
      <c r="P22" s="24">
        <v>249</v>
      </c>
      <c r="Q22" s="95">
        <v>234</v>
      </c>
      <c r="R22" s="95">
        <v>244</v>
      </c>
      <c r="S22" s="95">
        <v>229</v>
      </c>
      <c r="T22" s="32">
        <v>269</v>
      </c>
      <c r="U22" s="95">
        <v>256</v>
      </c>
      <c r="V22" s="95">
        <v>282</v>
      </c>
      <c r="W22" s="95">
        <v>268</v>
      </c>
      <c r="X22" s="32">
        <v>300</v>
      </c>
      <c r="Y22" s="82">
        <v>271</v>
      </c>
      <c r="Z22" s="82">
        <v>303</v>
      </c>
      <c r="AA22" s="81">
        <v>293</v>
      </c>
      <c r="AB22" s="5"/>
      <c r="AC22" s="32">
        <f t="shared" si="52"/>
        <v>976</v>
      </c>
      <c r="AD22" s="32">
        <f t="shared" si="53"/>
        <v>998</v>
      </c>
      <c r="AE22" s="32">
        <f t="shared" si="54"/>
        <v>1036</v>
      </c>
      <c r="AF22" s="32">
        <f t="shared" si="55"/>
        <v>1075</v>
      </c>
      <c r="AG22" s="32">
        <f t="shared" si="56"/>
        <v>1106</v>
      </c>
      <c r="AH22" s="32">
        <f t="shared" si="57"/>
        <v>1121</v>
      </c>
      <c r="AI22" s="32">
        <f t="shared" si="58"/>
        <v>1142</v>
      </c>
      <c r="AJ22" s="32">
        <f t="shared" si="59"/>
        <v>1167</v>
      </c>
    </row>
    <row r="23" spans="1:36">
      <c r="B23" s="13" t="s">
        <v>166</v>
      </c>
      <c r="C23" s="14">
        <f>SUM(C20:C22)</f>
        <v>3827</v>
      </c>
      <c r="D23" s="14">
        <f>SUM(D20:D22)</f>
        <v>4633</v>
      </c>
      <c r="E23" s="14">
        <f>SUM(E20:E22)</f>
        <v>4911</v>
      </c>
      <c r="F23" s="14">
        <f>SUM(F20:F22)</f>
        <v>5422</v>
      </c>
      <c r="G23" s="14">
        <f>SUM(G20:G22)</f>
        <v>5993</v>
      </c>
      <c r="H23" s="11"/>
      <c r="I23" s="14">
        <f t="shared" ref="I23" si="60">SUM(I20:I22)</f>
        <v>1058</v>
      </c>
      <c r="J23" s="14">
        <f t="shared" ref="J23" si="61">SUM(J20:J22)</f>
        <v>1195</v>
      </c>
      <c r="K23" s="14">
        <f t="shared" ref="K23:P23" si="62">SUM(K20:K22)</f>
        <v>1138</v>
      </c>
      <c r="L23" s="14">
        <f t="shared" si="62"/>
        <v>1242</v>
      </c>
      <c r="M23" s="14">
        <f t="shared" si="62"/>
        <v>1154</v>
      </c>
      <c r="N23" s="14">
        <f t="shared" si="62"/>
        <v>1249</v>
      </c>
      <c r="O23" s="14">
        <f t="shared" si="62"/>
        <v>1213</v>
      </c>
      <c r="P23" s="14">
        <f t="shared" si="62"/>
        <v>1295</v>
      </c>
      <c r="Q23" s="14">
        <f t="shared" ref="Q23:AA23" si="63">SUM(Q20:Q22)</f>
        <v>1280</v>
      </c>
      <c r="R23" s="14">
        <f t="shared" si="63"/>
        <v>1359</v>
      </c>
      <c r="S23" s="14">
        <f t="shared" si="63"/>
        <v>1341</v>
      </c>
      <c r="T23" s="14">
        <f t="shared" si="63"/>
        <v>1442</v>
      </c>
      <c r="U23" s="14">
        <f t="shared" si="63"/>
        <v>1411</v>
      </c>
      <c r="V23" s="14">
        <f t="shared" si="63"/>
        <v>1482</v>
      </c>
      <c r="W23" s="14">
        <f t="shared" si="63"/>
        <v>1478</v>
      </c>
      <c r="X23" s="14">
        <f t="shared" si="63"/>
        <v>1622</v>
      </c>
      <c r="Y23" s="14">
        <f t="shared" si="63"/>
        <v>1577</v>
      </c>
      <c r="Z23" s="14">
        <f t="shared" si="63"/>
        <v>1716</v>
      </c>
      <c r="AA23" s="14">
        <f t="shared" si="63"/>
        <v>1722</v>
      </c>
      <c r="AB23" s="5"/>
      <c r="AC23" s="14">
        <f t="shared" ref="AC23:AJ23" si="64">SUM(AC20:AC22)</f>
        <v>5422</v>
      </c>
      <c r="AD23" s="14">
        <f t="shared" si="64"/>
        <v>5553</v>
      </c>
      <c r="AE23" s="14">
        <f t="shared" si="64"/>
        <v>5676</v>
      </c>
      <c r="AF23" s="14">
        <f t="shared" si="64"/>
        <v>5813</v>
      </c>
      <c r="AG23" s="14">
        <f t="shared" si="64"/>
        <v>5993</v>
      </c>
      <c r="AH23" s="14">
        <f t="shared" si="64"/>
        <v>6159</v>
      </c>
      <c r="AI23" s="14">
        <f t="shared" si="64"/>
        <v>6393</v>
      </c>
      <c r="AJ23" s="14">
        <f t="shared" si="64"/>
        <v>6637</v>
      </c>
    </row>
    <row r="24" spans="1:36">
      <c r="B24" s="18"/>
      <c r="C24" s="19"/>
      <c r="D24" s="19"/>
      <c r="E24" s="19"/>
      <c r="F24" s="19"/>
      <c r="G24" s="19"/>
      <c r="H24" s="20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2"/>
      <c r="U24" s="21"/>
      <c r="V24" s="21"/>
      <c r="W24" s="21"/>
      <c r="X24" s="21"/>
      <c r="Y24" s="21"/>
      <c r="Z24" s="21"/>
      <c r="AA24" s="21"/>
      <c r="AB24" s="20"/>
      <c r="AC24" s="20"/>
      <c r="AD24" s="20"/>
      <c r="AE24" s="20"/>
      <c r="AF24" s="20"/>
      <c r="AG24" s="20"/>
      <c r="AH24" s="20"/>
      <c r="AI24" s="20"/>
      <c r="AJ24" s="20"/>
    </row>
    <row r="25" spans="1:36">
      <c r="B25" s="152" t="str">
        <f>B20&amp;"(%)"</f>
        <v>Endoscopy(%)</v>
      </c>
      <c r="C25" s="153">
        <f t="shared" ref="C25:G27" si="65">SUM(C20/C$12)</f>
        <v>0.1795621910622415</v>
      </c>
      <c r="D25" s="153">
        <f t="shared" si="65"/>
        <v>0.18029473684210526</v>
      </c>
      <c r="E25" s="153">
        <f t="shared" si="65"/>
        <v>0.17430544655470098</v>
      </c>
      <c r="F25" s="153">
        <f t="shared" si="65"/>
        <v>0.17429775280898877</v>
      </c>
      <c r="G25" s="153">
        <f t="shared" si="65"/>
        <v>0.16044664716068549</v>
      </c>
      <c r="H25" s="154"/>
      <c r="I25" s="153">
        <f t="shared" ref="I25:J25" si="66">SUM(I20/I$12)</f>
        <v>0.18218327856882074</v>
      </c>
      <c r="J25" s="153">
        <f t="shared" si="66"/>
        <v>0.18142904181758315</v>
      </c>
      <c r="K25" s="153">
        <f t="shared" ref="K25:P25" si="67">SUM(K20/K$12)</f>
        <v>0.18297288019224167</v>
      </c>
      <c r="L25" s="153">
        <f t="shared" si="67"/>
        <v>0.1801162040025823</v>
      </c>
      <c r="M25" s="153">
        <f t="shared" si="67"/>
        <v>0.17768871075484302</v>
      </c>
      <c r="N25" s="153">
        <f t="shared" si="67"/>
        <v>0.17536730228196312</v>
      </c>
      <c r="O25" s="153">
        <f t="shared" si="67"/>
        <v>0.17893725992317541</v>
      </c>
      <c r="P25" s="153">
        <f t="shared" si="67"/>
        <v>0.17464702271332105</v>
      </c>
      <c r="Q25" s="153">
        <f t="shared" ref="Q25:AA25" si="68">SUM(Q20/Q$12)</f>
        <v>0.17379518072289157</v>
      </c>
      <c r="R25" s="153">
        <f t="shared" si="68"/>
        <v>0.17811704834605599</v>
      </c>
      <c r="S25" s="153">
        <f t="shared" si="68"/>
        <v>0.18279569892473119</v>
      </c>
      <c r="T25" s="153">
        <f t="shared" si="68"/>
        <v>0.17684095264166438</v>
      </c>
      <c r="U25" s="153">
        <f t="shared" si="68"/>
        <v>0.17133706965572457</v>
      </c>
      <c r="V25" s="153">
        <f t="shared" si="68"/>
        <v>0.16841317365269462</v>
      </c>
      <c r="W25" s="153">
        <f t="shared" si="68"/>
        <v>0.16593245227606462</v>
      </c>
      <c r="X25" s="153">
        <f t="shared" si="68"/>
        <v>0.15745164960182026</v>
      </c>
      <c r="Y25" s="153">
        <f t="shared" si="68"/>
        <v>0.14929015084294586</v>
      </c>
      <c r="Z25" s="153">
        <f t="shared" si="68"/>
        <v>0.1504695794201715</v>
      </c>
      <c r="AA25" s="153">
        <f t="shared" si="68"/>
        <v>0.15241787390328504</v>
      </c>
      <c r="AB25" s="154"/>
      <c r="AC25" s="155">
        <f t="shared" ref="AC25:AC27" si="69">T25</f>
        <v>0.17684095264166438</v>
      </c>
      <c r="AD25" s="155">
        <f t="shared" ref="AD25:AD27" si="70">U25</f>
        <v>0.17133706965572457</v>
      </c>
      <c r="AE25" s="155">
        <f t="shared" ref="AE25:AE27" si="71">V25</f>
        <v>0.16841317365269462</v>
      </c>
      <c r="AF25" s="155">
        <f t="shared" ref="AF25:AF27" si="72">W25</f>
        <v>0.16593245227606462</v>
      </c>
      <c r="AG25" s="155">
        <f t="shared" ref="AG25:AG27" si="73">X25</f>
        <v>0.15745164960182026</v>
      </c>
      <c r="AH25" s="155">
        <f t="shared" ref="AH25:AH27" si="74">Y25</f>
        <v>0.14929015084294586</v>
      </c>
      <c r="AI25" s="155">
        <f t="shared" ref="AI25:AI27" si="75">Z25</f>
        <v>0.1504695794201715</v>
      </c>
      <c r="AJ25" s="156">
        <f t="shared" ref="AJ25:AJ27" si="76">AA25</f>
        <v>0.15241787390328504</v>
      </c>
    </row>
    <row r="26" spans="1:36">
      <c r="B26" s="162" t="str">
        <f>B21&amp;"(%)"</f>
        <v>Urology(%)</v>
      </c>
      <c r="C26" s="163">
        <f t="shared" si="65"/>
        <v>0.12972863916069807</v>
      </c>
      <c r="D26" s="163">
        <f t="shared" si="65"/>
        <v>0.13330526315789473</v>
      </c>
      <c r="E26" s="163">
        <f t="shared" si="65"/>
        <v>0.1391461309056663</v>
      </c>
      <c r="F26" s="163">
        <f t="shared" si="65"/>
        <v>0.13792134831460673</v>
      </c>
      <c r="G26" s="163">
        <f t="shared" si="65"/>
        <v>0.13136681196632233</v>
      </c>
      <c r="H26" s="164"/>
      <c r="I26" s="163">
        <f t="shared" ref="I26:J26" si="77">SUM(I21/I$12)</f>
        <v>0.13179992698064988</v>
      </c>
      <c r="J26" s="163">
        <f t="shared" si="77"/>
        <v>0.13072110635495554</v>
      </c>
      <c r="K26" s="163">
        <f t="shared" ref="K26:P26" si="78">SUM(K21/K$12)</f>
        <v>0.13182286302780638</v>
      </c>
      <c r="L26" s="163">
        <f t="shared" si="78"/>
        <v>0.14234990316333118</v>
      </c>
      <c r="M26" s="163">
        <f t="shared" si="78"/>
        <v>0.13794255177020709</v>
      </c>
      <c r="N26" s="163">
        <f t="shared" si="78"/>
        <v>0.14066895904970303</v>
      </c>
      <c r="O26" s="163">
        <f t="shared" si="78"/>
        <v>0.1386043533930858</v>
      </c>
      <c r="P26" s="163">
        <f t="shared" si="78"/>
        <v>0.14640883977900551</v>
      </c>
      <c r="Q26" s="163">
        <f t="shared" ref="Q26:AA26" si="79">SUM(Q21/Q$12)</f>
        <v>0.14126506024096386</v>
      </c>
      <c r="R26" s="163">
        <f t="shared" si="79"/>
        <v>0.13712185467910659</v>
      </c>
      <c r="S26" s="163">
        <f t="shared" si="79"/>
        <v>0.14036617262423715</v>
      </c>
      <c r="T26" s="163">
        <f t="shared" si="79"/>
        <v>0.14426498768135779</v>
      </c>
      <c r="U26" s="163">
        <f t="shared" si="79"/>
        <v>0.13690952762209768</v>
      </c>
      <c r="V26" s="163">
        <f t="shared" si="79"/>
        <v>0.1309880239520958</v>
      </c>
      <c r="W26" s="163">
        <f t="shared" si="79"/>
        <v>0.13020068526676457</v>
      </c>
      <c r="X26" s="163">
        <f t="shared" si="79"/>
        <v>0.14334470989761092</v>
      </c>
      <c r="Y26" s="163">
        <f t="shared" si="79"/>
        <v>0.14041703637976929</v>
      </c>
      <c r="Z26" s="163">
        <f t="shared" si="79"/>
        <v>0.13801551653736219</v>
      </c>
      <c r="AA26" s="163">
        <f t="shared" si="79"/>
        <v>0.13915527443378903</v>
      </c>
      <c r="AB26" s="164"/>
      <c r="AC26" s="165">
        <f t="shared" ref="AC26" si="80">T26</f>
        <v>0.14426498768135779</v>
      </c>
      <c r="AD26" s="165">
        <f t="shared" ref="AD26" si="81">U26</f>
        <v>0.13690952762209768</v>
      </c>
      <c r="AE26" s="165">
        <f t="shared" ref="AE26" si="82">V26</f>
        <v>0.1309880239520958</v>
      </c>
      <c r="AF26" s="165">
        <f t="shared" ref="AF26" si="83">W26</f>
        <v>0.13020068526676457</v>
      </c>
      <c r="AG26" s="165">
        <f t="shared" ref="AG26" si="84">X26</f>
        <v>0.14334470989761092</v>
      </c>
      <c r="AH26" s="165">
        <f t="shared" ref="AH26" si="85">Y26</f>
        <v>0.14041703637976929</v>
      </c>
      <c r="AI26" s="165">
        <f t="shared" ref="AI26" si="86">Z26</f>
        <v>0.13801551653736219</v>
      </c>
      <c r="AJ26" s="166">
        <f t="shared" ref="AJ26" si="87">AA26</f>
        <v>0.13915527443378903</v>
      </c>
    </row>
    <row r="27" spans="1:36" ht="12.75" customHeight="1">
      <c r="B27" s="157" t="str">
        <f>B22&amp;"(%)"</f>
        <v>Neuromodulation(%)</v>
      </c>
      <c r="C27" s="158">
        <f t="shared" si="65"/>
        <v>7.6767880560879659E-2</v>
      </c>
      <c r="D27" s="158">
        <f t="shared" si="65"/>
        <v>7.6547368421052628E-2</v>
      </c>
      <c r="E27" s="158">
        <f t="shared" si="65"/>
        <v>7.1966724219117872E-2</v>
      </c>
      <c r="F27" s="158">
        <f t="shared" si="65"/>
        <v>6.8539325842696633E-2</v>
      </c>
      <c r="G27" s="158">
        <f t="shared" si="65"/>
        <v>6.6041679106705678E-2</v>
      </c>
      <c r="H27" s="159"/>
      <c r="I27" s="158">
        <f t="shared" ref="I27:J27" si="88">SUM(I22/I$12)</f>
        <v>7.2289156626506021E-2</v>
      </c>
      <c r="J27" s="158">
        <f t="shared" si="88"/>
        <v>8.1330260125123482E-2</v>
      </c>
      <c r="K27" s="158">
        <f t="shared" ref="K27:P27" si="89">SUM(K22/K$12)</f>
        <v>7.5866803982148984E-2</v>
      </c>
      <c r="L27" s="158">
        <f t="shared" si="89"/>
        <v>7.8437701743060043E-2</v>
      </c>
      <c r="M27" s="158">
        <f t="shared" si="89"/>
        <v>6.9806279225116896E-2</v>
      </c>
      <c r="N27" s="158">
        <f t="shared" si="89"/>
        <v>7.4398249452954049E-2</v>
      </c>
      <c r="O27" s="158">
        <f t="shared" si="89"/>
        <v>7.0742637644046091E-2</v>
      </c>
      <c r="P27" s="158">
        <f t="shared" si="89"/>
        <v>7.6427255985267034E-2</v>
      </c>
      <c r="Q27" s="158">
        <f t="shared" ref="Q27:AA27" si="90">SUM(Q22/Q$12)</f>
        <v>7.048192771084337E-2</v>
      </c>
      <c r="R27" s="158">
        <f t="shared" si="90"/>
        <v>6.8985015549901052E-2</v>
      </c>
      <c r="S27" s="158">
        <f t="shared" si="90"/>
        <v>6.6550421389131073E-2</v>
      </c>
      <c r="T27" s="158">
        <f t="shared" si="90"/>
        <v>7.3638105666575415E-2</v>
      </c>
      <c r="U27" s="158">
        <f t="shared" si="90"/>
        <v>6.8321323725647184E-2</v>
      </c>
      <c r="V27" s="158">
        <f t="shared" si="90"/>
        <v>7.0359281437125748E-2</v>
      </c>
      <c r="W27" s="158">
        <f t="shared" si="90"/>
        <v>6.5589818893783652E-2</v>
      </c>
      <c r="X27" s="158">
        <f t="shared" si="90"/>
        <v>6.8259385665529013E-2</v>
      </c>
      <c r="Y27" s="158">
        <f t="shared" si="90"/>
        <v>6.0115350488021295E-2</v>
      </c>
      <c r="Z27" s="158">
        <f t="shared" si="90"/>
        <v>6.186198448346264E-2</v>
      </c>
      <c r="AA27" s="158">
        <f t="shared" si="90"/>
        <v>5.9783717608651296E-2</v>
      </c>
      <c r="AB27" s="159"/>
      <c r="AC27" s="160">
        <f t="shared" si="69"/>
        <v>7.3638105666575415E-2</v>
      </c>
      <c r="AD27" s="160">
        <f t="shared" si="70"/>
        <v>6.8321323725647184E-2</v>
      </c>
      <c r="AE27" s="160">
        <f t="shared" si="71"/>
        <v>7.0359281437125748E-2</v>
      </c>
      <c r="AF27" s="160">
        <f t="shared" si="72"/>
        <v>6.5589818893783652E-2</v>
      </c>
      <c r="AG27" s="160">
        <f t="shared" si="73"/>
        <v>6.8259385665529013E-2</v>
      </c>
      <c r="AH27" s="160">
        <f t="shared" si="74"/>
        <v>6.0115350488021295E-2</v>
      </c>
      <c r="AI27" s="160">
        <f t="shared" si="75"/>
        <v>6.186198448346264E-2</v>
      </c>
      <c r="AJ27" s="161">
        <f t="shared" si="76"/>
        <v>5.9783717608651296E-2</v>
      </c>
    </row>
    <row r="29" spans="1:36" ht="12.75" customHeight="1">
      <c r="A29" s="80" t="s">
        <v>16</v>
      </c>
      <c r="B29" s="78" t="s">
        <v>170</v>
      </c>
      <c r="C29" s="10"/>
      <c r="D29" s="10"/>
      <c r="E29" s="10"/>
      <c r="F29" s="10"/>
      <c r="G29" s="10"/>
      <c r="H29" s="10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32"/>
      <c r="U29" s="95"/>
      <c r="V29" s="95"/>
      <c r="W29" s="95"/>
      <c r="X29" s="32"/>
      <c r="Y29" s="95"/>
      <c r="Z29" s="95"/>
      <c r="AA29" s="95"/>
      <c r="AB29" s="5"/>
      <c r="AC29" s="11"/>
      <c r="AD29" s="11"/>
      <c r="AE29" s="11"/>
      <c r="AF29" s="11"/>
      <c r="AG29" s="11"/>
      <c r="AH29" s="11"/>
      <c r="AI29" s="11"/>
      <c r="AJ29" s="11"/>
    </row>
    <row r="30" spans="1:36" ht="12.75" customHeight="1">
      <c r="A30" s="80"/>
      <c r="B30" s="9" t="s">
        <v>167</v>
      </c>
      <c r="C30" s="81">
        <v>2299</v>
      </c>
      <c r="D30" s="81">
        <v>2209</v>
      </c>
      <c r="E30" s="81">
        <v>2228</v>
      </c>
      <c r="F30" s="81">
        <v>2417</v>
      </c>
      <c r="G30" s="81">
        <v>2645</v>
      </c>
      <c r="H30" s="10"/>
      <c r="I30" s="95">
        <v>526</v>
      </c>
      <c r="J30" s="95">
        <v>574</v>
      </c>
      <c r="K30" s="95">
        <v>534</v>
      </c>
      <c r="L30" s="24">
        <v>575</v>
      </c>
      <c r="M30" s="95">
        <v>544</v>
      </c>
      <c r="N30" s="95">
        <v>574</v>
      </c>
      <c r="O30" s="95">
        <v>549</v>
      </c>
      <c r="P30" s="24">
        <v>561</v>
      </c>
      <c r="Q30" s="95">
        <v>591</v>
      </c>
      <c r="R30" s="95">
        <v>629</v>
      </c>
      <c r="S30" s="95">
        <v>583</v>
      </c>
      <c r="T30" s="32">
        <v>614</v>
      </c>
      <c r="U30" s="95">
        <v>652</v>
      </c>
      <c r="V30" s="95">
        <v>665</v>
      </c>
      <c r="W30" s="95">
        <v>661</v>
      </c>
      <c r="X30" s="32">
        <v>667</v>
      </c>
      <c r="Y30" s="82">
        <v>697</v>
      </c>
      <c r="Z30" s="82">
        <v>731</v>
      </c>
      <c r="AA30" s="81">
        <v>686</v>
      </c>
      <c r="AB30" s="5"/>
      <c r="AC30" s="32">
        <f t="shared" ref="AC30:AC33" si="91">SUM(Q30:T30)</f>
        <v>2417</v>
      </c>
      <c r="AD30" s="32">
        <f t="shared" ref="AD30:AD33" si="92">SUM(R30:U30)</f>
        <v>2478</v>
      </c>
      <c r="AE30" s="32">
        <f t="shared" ref="AE30:AE33" si="93">SUM(S30:V30)</f>
        <v>2514</v>
      </c>
      <c r="AF30" s="32">
        <f t="shared" ref="AF30:AF33" si="94">SUM(T30:W30)</f>
        <v>2592</v>
      </c>
      <c r="AG30" s="32">
        <f t="shared" ref="AG30:AG33" si="95">SUM(U30:X30)</f>
        <v>2645</v>
      </c>
      <c r="AH30" s="32">
        <f t="shared" ref="AH30:AH33" si="96">SUM(V30:Y30)</f>
        <v>2690</v>
      </c>
      <c r="AI30" s="32">
        <f t="shared" ref="AI30:AI33" si="97">SUM(W30:Z30)</f>
        <v>2756</v>
      </c>
      <c r="AJ30" s="32">
        <f t="shared" ref="AJ30:AJ33" si="98">SUM(X30:AA30)</f>
        <v>2781</v>
      </c>
    </row>
    <row r="31" spans="1:36" ht="12.75" customHeight="1">
      <c r="A31" s="80"/>
      <c r="B31" s="9" t="s">
        <v>168</v>
      </c>
      <c r="C31" s="81">
        <v>219</v>
      </c>
      <c r="D31" s="81">
        <v>829</v>
      </c>
      <c r="E31" s="81">
        <v>1019</v>
      </c>
      <c r="F31" s="81">
        <v>1274</v>
      </c>
      <c r="G31" s="81">
        <v>1516</v>
      </c>
      <c r="H31" s="10"/>
      <c r="I31" s="95">
        <v>170</v>
      </c>
      <c r="J31" s="95">
        <v>216</v>
      </c>
      <c r="K31" s="95">
        <v>210</v>
      </c>
      <c r="L31" s="24">
        <v>233</v>
      </c>
      <c r="M31" s="95">
        <v>226</v>
      </c>
      <c r="N31" s="95">
        <v>250</v>
      </c>
      <c r="O31" s="95">
        <v>262</v>
      </c>
      <c r="P31" s="24">
        <v>281</v>
      </c>
      <c r="Q31" s="95">
        <v>291</v>
      </c>
      <c r="R31" s="95">
        <v>317</v>
      </c>
      <c r="S31" s="95">
        <v>323</v>
      </c>
      <c r="T31" s="32">
        <v>343</v>
      </c>
      <c r="U31" s="95">
        <v>344</v>
      </c>
      <c r="V31" s="95">
        <v>379</v>
      </c>
      <c r="W31" s="95">
        <v>380</v>
      </c>
      <c r="X31" s="32">
        <v>413</v>
      </c>
      <c r="Y31" s="82">
        <v>425</v>
      </c>
      <c r="Z31" s="82">
        <v>486</v>
      </c>
      <c r="AA31" s="81">
        <v>512</v>
      </c>
      <c r="AB31" s="5"/>
      <c r="AC31" s="32">
        <f t="shared" si="91"/>
        <v>1274</v>
      </c>
      <c r="AD31" s="32">
        <f t="shared" si="92"/>
        <v>1327</v>
      </c>
      <c r="AE31" s="32">
        <f t="shared" si="93"/>
        <v>1389</v>
      </c>
      <c r="AF31" s="32">
        <f t="shared" si="94"/>
        <v>1446</v>
      </c>
      <c r="AG31" s="32">
        <f t="shared" si="95"/>
        <v>1516</v>
      </c>
      <c r="AH31" s="32">
        <f t="shared" si="96"/>
        <v>1597</v>
      </c>
      <c r="AI31" s="32">
        <f t="shared" si="97"/>
        <v>1704</v>
      </c>
      <c r="AJ31" s="32">
        <f t="shared" si="98"/>
        <v>1836</v>
      </c>
    </row>
    <row r="32" spans="1:36" ht="12.75" customHeight="1">
      <c r="A32" s="80"/>
      <c r="B32" s="9" t="s">
        <v>169</v>
      </c>
      <c r="C32" s="81">
        <v>1704</v>
      </c>
      <c r="D32" s="81">
        <v>2019</v>
      </c>
      <c r="E32" s="81">
        <v>2100</v>
      </c>
      <c r="F32" s="81">
        <v>2218</v>
      </c>
      <c r="G32" s="81">
        <v>2279</v>
      </c>
      <c r="H32" s="10"/>
      <c r="I32" s="95">
        <v>469</v>
      </c>
      <c r="J32" s="95">
        <v>524</v>
      </c>
      <c r="K32" s="95">
        <v>512</v>
      </c>
      <c r="L32" s="24">
        <v>514</v>
      </c>
      <c r="M32" s="95">
        <v>519</v>
      </c>
      <c r="N32" s="95">
        <v>541</v>
      </c>
      <c r="O32" s="95">
        <v>519</v>
      </c>
      <c r="P32" s="24">
        <v>521</v>
      </c>
      <c r="Q32" s="95">
        <v>548</v>
      </c>
      <c r="R32" s="95">
        <v>566</v>
      </c>
      <c r="S32" s="95">
        <v>552</v>
      </c>
      <c r="T32" s="32">
        <v>552</v>
      </c>
      <c r="U32" s="95">
        <v>575</v>
      </c>
      <c r="V32" s="95">
        <v>576</v>
      </c>
      <c r="W32" s="95">
        <v>561</v>
      </c>
      <c r="X32" s="32">
        <v>567</v>
      </c>
      <c r="Y32" s="82">
        <v>578</v>
      </c>
      <c r="Z32" s="82">
        <v>590</v>
      </c>
      <c r="AA32" s="81">
        <v>578</v>
      </c>
      <c r="AB32" s="5"/>
      <c r="AC32" s="32">
        <f t="shared" si="91"/>
        <v>2218</v>
      </c>
      <c r="AD32" s="32">
        <f t="shared" si="92"/>
        <v>2245</v>
      </c>
      <c r="AE32" s="32">
        <f t="shared" si="93"/>
        <v>2255</v>
      </c>
      <c r="AF32" s="32">
        <f t="shared" si="94"/>
        <v>2264</v>
      </c>
      <c r="AG32" s="32">
        <f t="shared" si="95"/>
        <v>2279</v>
      </c>
      <c r="AH32" s="32">
        <f t="shared" si="96"/>
        <v>2282</v>
      </c>
      <c r="AI32" s="32">
        <f t="shared" si="97"/>
        <v>2296</v>
      </c>
      <c r="AJ32" s="32">
        <f t="shared" si="98"/>
        <v>2313</v>
      </c>
    </row>
    <row r="33" spans="1:48">
      <c r="B33" s="9" t="s">
        <v>155</v>
      </c>
      <c r="C33" s="81">
        <v>287</v>
      </c>
      <c r="D33" s="81">
        <v>365</v>
      </c>
      <c r="E33" s="81">
        <v>585</v>
      </c>
      <c r="F33" s="81">
        <v>800</v>
      </c>
      <c r="G33" s="81">
        <v>1904</v>
      </c>
      <c r="H33" s="81"/>
      <c r="I33" s="95">
        <v>83</v>
      </c>
      <c r="J33" s="95">
        <v>95</v>
      </c>
      <c r="K33" s="95">
        <v>86</v>
      </c>
      <c r="L33" s="24">
        <v>101</v>
      </c>
      <c r="M33" s="95">
        <v>118</v>
      </c>
      <c r="N33" s="95">
        <v>152</v>
      </c>
      <c r="O33" s="95">
        <v>148</v>
      </c>
      <c r="P33" s="24">
        <v>167</v>
      </c>
      <c r="Q33" s="95">
        <v>177</v>
      </c>
      <c r="R33" s="95">
        <v>193</v>
      </c>
      <c r="S33" s="95">
        <v>190</v>
      </c>
      <c r="T33" s="32">
        <v>240</v>
      </c>
      <c r="U33" s="95">
        <v>300</v>
      </c>
      <c r="V33" s="95">
        <v>428</v>
      </c>
      <c r="W33" s="95">
        <v>527</v>
      </c>
      <c r="X33" s="32">
        <v>649</v>
      </c>
      <c r="Y33" s="82">
        <v>729</v>
      </c>
      <c r="Z33" s="82">
        <v>840</v>
      </c>
      <c r="AA33" s="81">
        <v>865</v>
      </c>
      <c r="AB33" s="5"/>
      <c r="AC33" s="32">
        <f t="shared" si="91"/>
        <v>800</v>
      </c>
      <c r="AD33" s="32">
        <f t="shared" si="92"/>
        <v>923</v>
      </c>
      <c r="AE33" s="32">
        <f t="shared" si="93"/>
        <v>1158</v>
      </c>
      <c r="AF33" s="32">
        <f t="shared" si="94"/>
        <v>1495</v>
      </c>
      <c r="AG33" s="32">
        <f t="shared" si="95"/>
        <v>1904</v>
      </c>
      <c r="AH33" s="32">
        <f t="shared" si="96"/>
        <v>2333</v>
      </c>
      <c r="AI33" s="32">
        <f t="shared" si="97"/>
        <v>2745</v>
      </c>
      <c r="AJ33" s="32">
        <f t="shared" si="98"/>
        <v>3083</v>
      </c>
    </row>
    <row r="34" spans="1:48">
      <c r="B34" s="13" t="s">
        <v>172</v>
      </c>
      <c r="C34" s="14">
        <f t="shared" ref="C34" si="99">SUM(C30:C33)</f>
        <v>4509</v>
      </c>
      <c r="D34" s="14">
        <f t="shared" ref="D34" si="100">SUM(D30:D33)</f>
        <v>5422</v>
      </c>
      <c r="E34" s="14">
        <f>SUM(E30:E33)</f>
        <v>5932</v>
      </c>
      <c r="F34" s="14">
        <f>SUM(F30:F33)</f>
        <v>6709</v>
      </c>
      <c r="G34" s="14">
        <f>SUM(G30:G33)</f>
        <v>8344</v>
      </c>
      <c r="H34" s="11"/>
      <c r="I34" s="14">
        <f t="shared" ref="I34" si="101">SUM(I30:I33)</f>
        <v>1248</v>
      </c>
      <c r="J34" s="14">
        <f t="shared" ref="J34" si="102">SUM(J30:J33)</f>
        <v>1409</v>
      </c>
      <c r="K34" s="14">
        <f t="shared" ref="K34:P34" si="103">SUM(K30:K33)</f>
        <v>1342</v>
      </c>
      <c r="L34" s="14">
        <f t="shared" si="103"/>
        <v>1423</v>
      </c>
      <c r="M34" s="14">
        <f t="shared" si="103"/>
        <v>1407</v>
      </c>
      <c r="N34" s="14">
        <f t="shared" si="103"/>
        <v>1517</v>
      </c>
      <c r="O34" s="14">
        <f t="shared" si="103"/>
        <v>1478</v>
      </c>
      <c r="P34" s="14">
        <f t="shared" si="103"/>
        <v>1530</v>
      </c>
      <c r="Q34" s="14">
        <f t="shared" ref="Q34:AA34" si="104">SUM(Q30:Q33)</f>
        <v>1607</v>
      </c>
      <c r="R34" s="14">
        <f t="shared" si="104"/>
        <v>1705</v>
      </c>
      <c r="S34" s="14">
        <f t="shared" si="104"/>
        <v>1648</v>
      </c>
      <c r="T34" s="14">
        <f t="shared" si="104"/>
        <v>1749</v>
      </c>
      <c r="U34" s="14">
        <f t="shared" si="104"/>
        <v>1871</v>
      </c>
      <c r="V34" s="14">
        <f t="shared" si="104"/>
        <v>2048</v>
      </c>
      <c r="W34" s="14">
        <f t="shared" si="104"/>
        <v>2129</v>
      </c>
      <c r="X34" s="14">
        <f t="shared" si="104"/>
        <v>2296</v>
      </c>
      <c r="Y34" s="14">
        <f t="shared" si="104"/>
        <v>2429</v>
      </c>
      <c r="Z34" s="14">
        <f t="shared" si="104"/>
        <v>2647</v>
      </c>
      <c r="AA34" s="14">
        <f t="shared" si="104"/>
        <v>2641</v>
      </c>
      <c r="AB34" s="5"/>
      <c r="AC34" s="14">
        <f t="shared" ref="AC34:AJ34" si="105">SUM(AC30:AC33)</f>
        <v>6709</v>
      </c>
      <c r="AD34" s="14">
        <f t="shared" si="105"/>
        <v>6973</v>
      </c>
      <c r="AE34" s="14">
        <f t="shared" si="105"/>
        <v>7316</v>
      </c>
      <c r="AF34" s="14">
        <f t="shared" si="105"/>
        <v>7797</v>
      </c>
      <c r="AG34" s="14">
        <f t="shared" si="105"/>
        <v>8344</v>
      </c>
      <c r="AH34" s="14">
        <f t="shared" si="105"/>
        <v>8902</v>
      </c>
      <c r="AI34" s="14">
        <f t="shared" si="105"/>
        <v>9501</v>
      </c>
      <c r="AJ34" s="14">
        <f t="shared" si="105"/>
        <v>10013</v>
      </c>
    </row>
    <row r="35" spans="1:48">
      <c r="B35" s="18"/>
      <c r="C35" s="19"/>
      <c r="D35" s="19"/>
      <c r="E35" s="19"/>
      <c r="F35" s="19"/>
      <c r="G35" s="19"/>
      <c r="H35" s="20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/>
      <c r="U35" s="21"/>
      <c r="V35" s="21"/>
      <c r="W35" s="21"/>
      <c r="X35" s="21"/>
      <c r="Y35" s="21"/>
      <c r="Z35" s="21"/>
      <c r="AA35" s="21"/>
      <c r="AB35" s="20"/>
      <c r="AC35" s="20"/>
      <c r="AD35" s="20"/>
      <c r="AE35" s="20"/>
      <c r="AF35" s="20"/>
      <c r="AG35" s="20"/>
      <c r="AH35" s="20"/>
      <c r="AI35" s="20"/>
      <c r="AJ35" s="20"/>
    </row>
    <row r="36" spans="1:48">
      <c r="B36" s="152" t="str">
        <f>B30&amp;"(%)"</f>
        <v>Interventional Cardiology(%)</v>
      </c>
      <c r="C36" s="153">
        <f t="shared" ref="C36:D36" si="106">SUM(C30/C$12)</f>
        <v>0.23191768384949057</v>
      </c>
      <c r="D36" s="153">
        <f t="shared" si="106"/>
        <v>0.18602105263157895</v>
      </c>
      <c r="E36" s="153">
        <f t="shared" ref="E36:G39" si="107">SUM(E30/E$12)</f>
        <v>0.17485481086171717</v>
      </c>
      <c r="F36" s="153">
        <f t="shared" si="107"/>
        <v>0.16973314606741574</v>
      </c>
      <c r="G36" s="153">
        <f t="shared" si="107"/>
        <v>0.15793873529587388</v>
      </c>
      <c r="H36" s="154"/>
      <c r="I36" s="153">
        <f t="shared" ref="I36:J36" si="108">SUM(I30/I$12)</f>
        <v>0.19204089083607156</v>
      </c>
      <c r="J36" s="153">
        <f t="shared" si="108"/>
        <v>0.18900230490615738</v>
      </c>
      <c r="K36" s="153">
        <f t="shared" ref="K36:P36" si="109">SUM(K30/K$12)</f>
        <v>0.18331616889804325</v>
      </c>
      <c r="L36" s="153">
        <f t="shared" si="109"/>
        <v>0.1856036152356359</v>
      </c>
      <c r="M36" s="153">
        <f t="shared" si="109"/>
        <v>0.18169672678690715</v>
      </c>
      <c r="N36" s="153">
        <f t="shared" si="109"/>
        <v>0.17943107221006566</v>
      </c>
      <c r="O36" s="153">
        <f t="shared" si="109"/>
        <v>0.17573623559539053</v>
      </c>
      <c r="P36" s="153">
        <f t="shared" si="109"/>
        <v>0.17219152854511971</v>
      </c>
      <c r="Q36" s="153">
        <f t="shared" ref="Q36:AA36" si="110">SUM(Q30/Q$12)</f>
        <v>0.17801204819277108</v>
      </c>
      <c r="R36" s="153">
        <f t="shared" si="110"/>
        <v>0.17783432287249082</v>
      </c>
      <c r="S36" s="153">
        <f t="shared" si="110"/>
        <v>0.16942749200813717</v>
      </c>
      <c r="T36" s="153">
        <f t="shared" si="110"/>
        <v>0.16808102929099369</v>
      </c>
      <c r="U36" s="153">
        <f t="shared" si="110"/>
        <v>0.17400587136375767</v>
      </c>
      <c r="V36" s="153">
        <f t="shared" si="110"/>
        <v>0.16591816367265469</v>
      </c>
      <c r="W36" s="153">
        <f t="shared" si="110"/>
        <v>0.16177190406265296</v>
      </c>
      <c r="X36" s="153">
        <f t="shared" si="110"/>
        <v>0.15176336746302616</v>
      </c>
      <c r="Y36" s="153">
        <f t="shared" si="110"/>
        <v>0.15461401952085183</v>
      </c>
      <c r="Z36" s="153">
        <f t="shared" si="110"/>
        <v>0.14924458962841977</v>
      </c>
      <c r="AA36" s="153">
        <f t="shared" si="110"/>
        <v>0.13997143440114262</v>
      </c>
      <c r="AB36" s="154"/>
      <c r="AC36" s="155">
        <f t="shared" ref="AC36:AC39" si="111">T36</f>
        <v>0.16808102929099369</v>
      </c>
      <c r="AD36" s="155">
        <f t="shared" ref="AD36:AD39" si="112">U36</f>
        <v>0.17400587136375767</v>
      </c>
      <c r="AE36" s="155">
        <f t="shared" ref="AE36:AE39" si="113">V36</f>
        <v>0.16591816367265469</v>
      </c>
      <c r="AF36" s="155">
        <f t="shared" ref="AF36:AF39" si="114">W36</f>
        <v>0.16177190406265296</v>
      </c>
      <c r="AG36" s="155">
        <f t="shared" ref="AG36:AG39" si="115">X36</f>
        <v>0.15176336746302616</v>
      </c>
      <c r="AH36" s="155">
        <f t="shared" ref="AH36:AH39" si="116">Y36</f>
        <v>0.15461401952085183</v>
      </c>
      <c r="AI36" s="155">
        <f t="shared" ref="AI36:AI39" si="117">Z36</f>
        <v>0.14924458962841977</v>
      </c>
      <c r="AJ36" s="156">
        <f t="shared" ref="AJ36:AJ39" si="118">AA36</f>
        <v>0.13997143440114262</v>
      </c>
    </row>
    <row r="37" spans="1:48">
      <c r="B37" s="162" t="str">
        <f>B31&amp;"(%)"</f>
        <v>Watchman(%)</v>
      </c>
      <c r="C37" s="163">
        <f t="shared" ref="C37:D37" si="119">SUM(C31/C$12)</f>
        <v>2.20922021587814E-2</v>
      </c>
      <c r="D37" s="163">
        <f t="shared" si="119"/>
        <v>6.9810526315789476E-2</v>
      </c>
      <c r="E37" s="163">
        <f t="shared" si="107"/>
        <v>7.9971746978496308E-2</v>
      </c>
      <c r="F37" s="163">
        <f t="shared" si="107"/>
        <v>8.9466292134831454E-2</v>
      </c>
      <c r="G37" s="163">
        <f t="shared" si="107"/>
        <v>9.0523675882247565E-2</v>
      </c>
      <c r="H37" s="164"/>
      <c r="I37" s="163">
        <f t="shared" ref="I37:J37" si="120">SUM(I31/I$12)</f>
        <v>6.2066447608616286E-2</v>
      </c>
      <c r="J37" s="163">
        <f t="shared" si="120"/>
        <v>7.1122818570958188E-2</v>
      </c>
      <c r="K37" s="163">
        <f t="shared" ref="K37:P37" si="121">SUM(K31/K$12)</f>
        <v>7.209062821833162E-2</v>
      </c>
      <c r="L37" s="163">
        <f t="shared" si="121"/>
        <v>7.520981278244028E-2</v>
      </c>
      <c r="M37" s="163">
        <f t="shared" si="121"/>
        <v>7.5484301937207746E-2</v>
      </c>
      <c r="N37" s="163">
        <f t="shared" si="121"/>
        <v>7.8149421694279464E-2</v>
      </c>
      <c r="O37" s="163">
        <f t="shared" si="121"/>
        <v>8.3866837387964147E-2</v>
      </c>
      <c r="P37" s="163">
        <f t="shared" si="121"/>
        <v>8.6249232658072439E-2</v>
      </c>
      <c r="Q37" s="163">
        <f t="shared" ref="Q37:AA37" si="122">SUM(Q31/Q$12)</f>
        <v>8.7650602409638553E-2</v>
      </c>
      <c r="R37" s="163">
        <f t="shared" si="122"/>
        <v>8.9623975120158322E-2</v>
      </c>
      <c r="S37" s="163">
        <f t="shared" si="122"/>
        <v>9.3868061609997097E-2</v>
      </c>
      <c r="T37" s="163">
        <f t="shared" si="122"/>
        <v>9.389542841500137E-2</v>
      </c>
      <c r="U37" s="163">
        <f t="shared" si="122"/>
        <v>9.18067787563384E-2</v>
      </c>
      <c r="V37" s="163">
        <f t="shared" si="122"/>
        <v>9.4560878243512975E-2</v>
      </c>
      <c r="W37" s="163">
        <f t="shared" si="122"/>
        <v>9.3000489476260398E-2</v>
      </c>
      <c r="X37" s="163">
        <f t="shared" si="122"/>
        <v>9.3970420932878274E-2</v>
      </c>
      <c r="Y37" s="163">
        <f t="shared" si="122"/>
        <v>9.4276841171251111E-2</v>
      </c>
      <c r="Z37" s="163">
        <f t="shared" si="122"/>
        <v>9.9224173131890567E-2</v>
      </c>
      <c r="AA37" s="163">
        <f t="shared" si="122"/>
        <v>0.10446847582126097</v>
      </c>
      <c r="AB37" s="164"/>
      <c r="AC37" s="165">
        <f t="shared" si="111"/>
        <v>9.389542841500137E-2</v>
      </c>
      <c r="AD37" s="165">
        <f t="shared" si="112"/>
        <v>9.18067787563384E-2</v>
      </c>
      <c r="AE37" s="165">
        <f t="shared" si="113"/>
        <v>9.4560878243512975E-2</v>
      </c>
      <c r="AF37" s="165">
        <f t="shared" si="114"/>
        <v>9.3000489476260398E-2</v>
      </c>
      <c r="AG37" s="165">
        <f t="shared" si="115"/>
        <v>9.3970420932878274E-2</v>
      </c>
      <c r="AH37" s="165">
        <f t="shared" si="116"/>
        <v>9.4276841171251111E-2</v>
      </c>
      <c r="AI37" s="165">
        <f t="shared" si="117"/>
        <v>9.9224173131890567E-2</v>
      </c>
      <c r="AJ37" s="166">
        <f t="shared" si="118"/>
        <v>0.10446847582126097</v>
      </c>
    </row>
    <row r="38" spans="1:48">
      <c r="B38" s="162" t="str">
        <f>B32&amp;"(%)"</f>
        <v>Cardiac Rhythm(%)</v>
      </c>
      <c r="C38" s="163">
        <f t="shared" ref="C38:D38" si="123">SUM(C32/C$12)</f>
        <v>0.17189549076969635</v>
      </c>
      <c r="D38" s="163">
        <f t="shared" si="123"/>
        <v>0.17002105263157893</v>
      </c>
      <c r="E38" s="163">
        <f t="shared" si="107"/>
        <v>0.1648092921048501</v>
      </c>
      <c r="F38" s="163">
        <f t="shared" si="107"/>
        <v>0.15575842696629214</v>
      </c>
      <c r="G38" s="163">
        <f t="shared" si="107"/>
        <v>0.13608407475965845</v>
      </c>
      <c r="H38" s="164"/>
      <c r="I38" s="163">
        <f t="shared" ref="I38:J38" si="124">SUM(I32/I$12)</f>
        <v>0.17123037604965316</v>
      </c>
      <c r="J38" s="163">
        <f t="shared" si="124"/>
        <v>0.17253868949621337</v>
      </c>
      <c r="K38" s="163">
        <f t="shared" ref="K38:P38" si="125">SUM(K32/K$12)</f>
        <v>0.17576381737040853</v>
      </c>
      <c r="L38" s="163">
        <f t="shared" si="125"/>
        <v>0.16591349257585539</v>
      </c>
      <c r="M38" s="163">
        <f t="shared" si="125"/>
        <v>0.17334669338677355</v>
      </c>
      <c r="N38" s="163">
        <f t="shared" si="125"/>
        <v>0.16911534854642077</v>
      </c>
      <c r="O38" s="163">
        <f t="shared" si="125"/>
        <v>0.16613316261203584</v>
      </c>
      <c r="P38" s="163">
        <f t="shared" si="125"/>
        <v>0.15991405770411296</v>
      </c>
      <c r="Q38" s="163">
        <f t="shared" ref="Q38:AA38" si="126">SUM(Q32/Q$12)</f>
        <v>0.16506024096385541</v>
      </c>
      <c r="R38" s="163">
        <f t="shared" si="126"/>
        <v>0.1600226180378852</v>
      </c>
      <c r="S38" s="163">
        <f t="shared" si="126"/>
        <v>0.16041848299912817</v>
      </c>
      <c r="T38" s="163">
        <f t="shared" si="126"/>
        <v>0.15110867779906925</v>
      </c>
      <c r="U38" s="163">
        <f t="shared" si="126"/>
        <v>0.15345609821190287</v>
      </c>
      <c r="V38" s="163">
        <f t="shared" si="126"/>
        <v>0.1437125748502994</v>
      </c>
      <c r="W38" s="163">
        <f t="shared" si="126"/>
        <v>0.13729809104258445</v>
      </c>
      <c r="X38" s="163">
        <f t="shared" si="126"/>
        <v>0.12901023890784982</v>
      </c>
      <c r="Y38" s="163">
        <f t="shared" si="126"/>
        <v>0.12821650399290152</v>
      </c>
      <c r="Z38" s="163">
        <f t="shared" si="126"/>
        <v>0.12045732952225398</v>
      </c>
      <c r="AA38" s="163">
        <f t="shared" si="126"/>
        <v>0.11793511528259538</v>
      </c>
      <c r="AB38" s="164"/>
      <c r="AC38" s="165">
        <f t="shared" si="111"/>
        <v>0.15110867779906925</v>
      </c>
      <c r="AD38" s="165">
        <f t="shared" si="112"/>
        <v>0.15345609821190287</v>
      </c>
      <c r="AE38" s="165">
        <f t="shared" si="113"/>
        <v>0.1437125748502994</v>
      </c>
      <c r="AF38" s="165">
        <f t="shared" si="114"/>
        <v>0.13729809104258445</v>
      </c>
      <c r="AG38" s="165">
        <f t="shared" si="115"/>
        <v>0.12901023890784982</v>
      </c>
      <c r="AH38" s="165">
        <f t="shared" si="116"/>
        <v>0.12821650399290152</v>
      </c>
      <c r="AI38" s="165">
        <f t="shared" si="117"/>
        <v>0.12045732952225398</v>
      </c>
      <c r="AJ38" s="166">
        <f t="shared" si="118"/>
        <v>0.11793511528259538</v>
      </c>
    </row>
    <row r="39" spans="1:48" ht="12.75" customHeight="1">
      <c r="B39" s="157" t="str">
        <f>B33&amp;"(%)"</f>
        <v>Electrophysiology(%)</v>
      </c>
      <c r="C39" s="158">
        <f t="shared" ref="C39:D39" si="127">SUM(C33/C$12)</f>
        <v>2.8951881367900736E-2</v>
      </c>
      <c r="D39" s="158">
        <f t="shared" si="127"/>
        <v>3.073684210526316E-2</v>
      </c>
      <c r="E39" s="158">
        <f t="shared" si="107"/>
        <v>4.5911159943493957E-2</v>
      </c>
      <c r="F39" s="158">
        <f t="shared" si="107"/>
        <v>5.6179775280898875E-2</v>
      </c>
      <c r="G39" s="158">
        <f t="shared" si="107"/>
        <v>0.11369200453812624</v>
      </c>
      <c r="H39" s="159"/>
      <c r="I39" s="158">
        <f t="shared" ref="I39:J39" si="128">SUM(I33/I$12)</f>
        <v>3.0303030303030304E-2</v>
      </c>
      <c r="J39" s="158">
        <f t="shared" si="128"/>
        <v>3.1280869278893647E-2</v>
      </c>
      <c r="K39" s="158">
        <f t="shared" ref="K39:P39" si="129">SUM(K33/K$12)</f>
        <v>2.9522828698935806E-2</v>
      </c>
      <c r="L39" s="158">
        <f t="shared" si="129"/>
        <v>3.2601678502259521E-2</v>
      </c>
      <c r="M39" s="158">
        <f t="shared" si="129"/>
        <v>3.9412157648630597E-2</v>
      </c>
      <c r="N39" s="158">
        <f t="shared" si="129"/>
        <v>4.7514848390121912E-2</v>
      </c>
      <c r="O39" s="158">
        <f t="shared" si="129"/>
        <v>4.7375160051216392E-2</v>
      </c>
      <c r="P39" s="158">
        <f t="shared" si="129"/>
        <v>5.1258440761203193E-2</v>
      </c>
      <c r="Q39" s="158">
        <f t="shared" ref="Q39:AA39" si="130">SUM(Q33/Q$12)</f>
        <v>5.3313253012048194E-2</v>
      </c>
      <c r="R39" s="158">
        <f t="shared" si="130"/>
        <v>5.4566016398077469E-2</v>
      </c>
      <c r="S39" s="158">
        <f t="shared" si="130"/>
        <v>5.5216506829410053E-2</v>
      </c>
      <c r="T39" s="158">
        <f t="shared" si="130"/>
        <v>6.5699425130030117E-2</v>
      </c>
      <c r="U39" s="158">
        <f t="shared" si="130"/>
        <v>8.0064051240992792E-2</v>
      </c>
      <c r="V39" s="158">
        <f t="shared" si="130"/>
        <v>0.10678642714570859</v>
      </c>
      <c r="W39" s="158">
        <f t="shared" si="130"/>
        <v>0.12897699461576115</v>
      </c>
      <c r="X39" s="158">
        <f t="shared" si="130"/>
        <v>0.14766780432309443</v>
      </c>
      <c r="Y39" s="158">
        <f t="shared" si="130"/>
        <v>0.16171251109139309</v>
      </c>
      <c r="Z39" s="158">
        <f t="shared" si="130"/>
        <v>0.17149857084524295</v>
      </c>
      <c r="AA39" s="158">
        <f t="shared" si="130"/>
        <v>0.17649459294021627</v>
      </c>
      <c r="AB39" s="159"/>
      <c r="AC39" s="160">
        <f t="shared" si="111"/>
        <v>6.5699425130030117E-2</v>
      </c>
      <c r="AD39" s="160">
        <f t="shared" si="112"/>
        <v>8.0064051240992792E-2</v>
      </c>
      <c r="AE39" s="160">
        <f t="shared" si="113"/>
        <v>0.10678642714570859</v>
      </c>
      <c r="AF39" s="160">
        <f t="shared" si="114"/>
        <v>0.12897699461576115</v>
      </c>
      <c r="AG39" s="160">
        <f t="shared" si="115"/>
        <v>0.14766780432309443</v>
      </c>
      <c r="AH39" s="160">
        <f t="shared" si="116"/>
        <v>0.16171251109139309</v>
      </c>
      <c r="AI39" s="160">
        <f t="shared" si="117"/>
        <v>0.17149857084524295</v>
      </c>
      <c r="AJ39" s="161">
        <f t="shared" si="118"/>
        <v>0.17649459294021627</v>
      </c>
    </row>
    <row r="41" spans="1:48">
      <c r="A41" s="36" t="s">
        <v>16</v>
      </c>
      <c r="B41" s="1" t="s">
        <v>141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5.0999999999999996" customHeight="1"/>
    <row r="43" spans="1:48" ht="12.75" customHeight="1">
      <c r="A43" s="80" t="s">
        <v>16</v>
      </c>
      <c r="B43" s="78" t="s">
        <v>173</v>
      </c>
      <c r="C43" s="10"/>
      <c r="D43" s="10"/>
      <c r="E43" s="10"/>
      <c r="F43" s="10"/>
      <c r="G43" s="10"/>
      <c r="H43" s="10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32"/>
      <c r="U43" s="95"/>
      <c r="V43" s="95"/>
      <c r="W43" s="95"/>
      <c r="X43" s="32"/>
      <c r="Y43" s="95"/>
      <c r="Z43" s="95"/>
      <c r="AA43" s="95"/>
      <c r="AB43" s="5"/>
      <c r="AC43" s="11"/>
      <c r="AD43" s="11"/>
      <c r="AE43" s="11"/>
      <c r="AF43" s="11"/>
      <c r="AG43" s="11"/>
      <c r="AH43" s="11"/>
      <c r="AI43" s="11"/>
      <c r="AJ43" s="11"/>
    </row>
    <row r="44" spans="1:48" ht="12.75" customHeight="1">
      <c r="A44" s="80"/>
      <c r="B44" s="9" t="s">
        <v>154</v>
      </c>
      <c r="C44" s="81">
        <v>5508</v>
      </c>
      <c r="D44" s="81">
        <v>6901</v>
      </c>
      <c r="E44" s="81">
        <v>7632</v>
      </c>
      <c r="F44" s="81">
        <v>8425</v>
      </c>
      <c r="G44" s="81">
        <v>10210</v>
      </c>
      <c r="H44" s="10"/>
      <c r="I44" s="95">
        <v>1577</v>
      </c>
      <c r="J44" s="95">
        <v>1800</v>
      </c>
      <c r="K44" s="95">
        <v>1726</v>
      </c>
      <c r="L44" s="24">
        <v>1798</v>
      </c>
      <c r="M44" s="95">
        <v>1778</v>
      </c>
      <c r="N44" s="95">
        <v>1934</v>
      </c>
      <c r="O44" s="95">
        <v>1934</v>
      </c>
      <c r="P44" s="24">
        <v>1986</v>
      </c>
      <c r="Q44" s="95">
        <v>2003</v>
      </c>
      <c r="R44" s="95">
        <v>2110</v>
      </c>
      <c r="S44" s="95">
        <v>2099</v>
      </c>
      <c r="T44" s="32">
        <v>2213</v>
      </c>
      <c r="U44" s="95">
        <v>2258</v>
      </c>
      <c r="V44" s="95">
        <v>2466</v>
      </c>
      <c r="W44" s="95">
        <v>2593</v>
      </c>
      <c r="X44" s="32">
        <v>2893</v>
      </c>
      <c r="Y44" s="82">
        <v>2960</v>
      </c>
      <c r="Z44" s="82">
        <v>3224</v>
      </c>
      <c r="AA44" s="81">
        <v>3294</v>
      </c>
      <c r="AB44" s="5"/>
      <c r="AC44" s="32">
        <f t="shared" ref="AC44:AC47" si="131">SUM(Q44:T44)</f>
        <v>8425</v>
      </c>
      <c r="AD44" s="32">
        <f t="shared" ref="AD44:AD47" si="132">SUM(R44:U44)</f>
        <v>8680</v>
      </c>
      <c r="AE44" s="32">
        <f t="shared" ref="AE44:AE47" si="133">SUM(S44:V44)</f>
        <v>9036</v>
      </c>
      <c r="AF44" s="32">
        <f t="shared" ref="AF44:AF47" si="134">SUM(T44:W44)</f>
        <v>9530</v>
      </c>
      <c r="AG44" s="32">
        <f t="shared" ref="AG44:AG47" si="135">SUM(U44:X44)</f>
        <v>10210</v>
      </c>
      <c r="AH44" s="32">
        <f t="shared" ref="AH44:AH47" si="136">SUM(V44:Y44)</f>
        <v>10912</v>
      </c>
      <c r="AI44" s="32">
        <f t="shared" ref="AI44:AI47" si="137">SUM(W44:Z44)</f>
        <v>11670</v>
      </c>
      <c r="AJ44" s="32">
        <f t="shared" ref="AJ44:AJ47" si="138">SUM(X44:AA44)</f>
        <v>12371</v>
      </c>
    </row>
    <row r="45" spans="1:48">
      <c r="B45" s="9" t="s">
        <v>161</v>
      </c>
      <c r="C45" s="81">
        <v>2097</v>
      </c>
      <c r="D45" s="81">
        <v>2518</v>
      </c>
      <c r="E45" s="81">
        <v>2526</v>
      </c>
      <c r="F45" s="81">
        <v>2856</v>
      </c>
      <c r="G45" s="81">
        <v>3228</v>
      </c>
      <c r="H45" s="81"/>
      <c r="I45" s="95">
        <v>604</v>
      </c>
      <c r="J45" s="95">
        <v>662</v>
      </c>
      <c r="K45" s="95">
        <v>590</v>
      </c>
      <c r="L45" s="24">
        <v>662</v>
      </c>
      <c r="M45" s="95">
        <v>624</v>
      </c>
      <c r="N45" s="95">
        <v>660</v>
      </c>
      <c r="O45" s="95">
        <v>585</v>
      </c>
      <c r="P45" s="24">
        <v>657</v>
      </c>
      <c r="Q45" s="95">
        <v>712</v>
      </c>
      <c r="R45" s="95">
        <v>723</v>
      </c>
      <c r="S45" s="95">
        <v>671</v>
      </c>
      <c r="T45" s="32">
        <v>750</v>
      </c>
      <c r="U45" s="95">
        <v>803</v>
      </c>
      <c r="V45" s="95">
        <v>822</v>
      </c>
      <c r="W45" s="95">
        <v>773</v>
      </c>
      <c r="X45" s="32">
        <v>830</v>
      </c>
      <c r="Y45" s="82">
        <v>846</v>
      </c>
      <c r="Z45" s="82">
        <v>878</v>
      </c>
      <c r="AA45" s="81">
        <v>793</v>
      </c>
      <c r="AB45" s="5"/>
      <c r="AC45" s="32">
        <f t="shared" si="131"/>
        <v>2856</v>
      </c>
      <c r="AD45" s="32">
        <f t="shared" si="132"/>
        <v>2947</v>
      </c>
      <c r="AE45" s="32">
        <f t="shared" si="133"/>
        <v>3046</v>
      </c>
      <c r="AF45" s="32">
        <f t="shared" si="134"/>
        <v>3148</v>
      </c>
      <c r="AG45" s="32">
        <f t="shared" si="135"/>
        <v>3228</v>
      </c>
      <c r="AH45" s="32">
        <f t="shared" si="136"/>
        <v>3271</v>
      </c>
      <c r="AI45" s="32">
        <f t="shared" si="137"/>
        <v>3327</v>
      </c>
      <c r="AJ45" s="32">
        <f t="shared" si="138"/>
        <v>3347</v>
      </c>
    </row>
    <row r="46" spans="1:48">
      <c r="B46" s="9" t="s">
        <v>162</v>
      </c>
      <c r="C46" s="81">
        <v>1781</v>
      </c>
      <c r="D46" s="81">
        <v>2070</v>
      </c>
      <c r="E46" s="81">
        <v>2116</v>
      </c>
      <c r="F46" s="81">
        <v>2400</v>
      </c>
      <c r="G46" s="81">
        <v>2686</v>
      </c>
      <c r="H46" s="81"/>
      <c r="I46" s="95">
        <v>473</v>
      </c>
      <c r="J46" s="95">
        <v>520</v>
      </c>
      <c r="K46" s="95">
        <v>517</v>
      </c>
      <c r="L46" s="24">
        <v>560</v>
      </c>
      <c r="M46" s="95">
        <v>517</v>
      </c>
      <c r="N46" s="95">
        <v>530</v>
      </c>
      <c r="O46" s="95">
        <v>532</v>
      </c>
      <c r="P46" s="24">
        <v>537</v>
      </c>
      <c r="Q46" s="95">
        <v>548</v>
      </c>
      <c r="R46" s="95">
        <v>626</v>
      </c>
      <c r="S46" s="95">
        <v>611</v>
      </c>
      <c r="T46" s="32">
        <v>615</v>
      </c>
      <c r="U46" s="95">
        <v>647</v>
      </c>
      <c r="V46" s="95">
        <v>670</v>
      </c>
      <c r="W46" s="95">
        <v>684</v>
      </c>
      <c r="X46" s="32">
        <v>685</v>
      </c>
      <c r="Y46" s="82">
        <v>701</v>
      </c>
      <c r="Z46" s="82">
        <v>790</v>
      </c>
      <c r="AA46" s="81">
        <v>803</v>
      </c>
      <c r="AB46" s="5"/>
      <c r="AC46" s="32">
        <f t="shared" si="131"/>
        <v>2400</v>
      </c>
      <c r="AD46" s="32">
        <f t="shared" si="132"/>
        <v>2499</v>
      </c>
      <c r="AE46" s="32">
        <f t="shared" si="133"/>
        <v>2543</v>
      </c>
      <c r="AF46" s="32">
        <f t="shared" si="134"/>
        <v>2616</v>
      </c>
      <c r="AG46" s="32">
        <f t="shared" si="135"/>
        <v>2686</v>
      </c>
      <c r="AH46" s="32">
        <f t="shared" si="136"/>
        <v>2740</v>
      </c>
      <c r="AI46" s="32">
        <f t="shared" si="137"/>
        <v>2860</v>
      </c>
      <c r="AJ46" s="32">
        <f t="shared" si="138"/>
        <v>2979</v>
      </c>
    </row>
    <row r="47" spans="1:48">
      <c r="B47" s="9" t="s">
        <v>163</v>
      </c>
      <c r="C47" s="81">
        <v>307</v>
      </c>
      <c r="D47" s="81">
        <v>386</v>
      </c>
      <c r="E47" s="81">
        <v>469</v>
      </c>
      <c r="F47" s="81">
        <v>559</v>
      </c>
      <c r="G47" s="81">
        <v>623</v>
      </c>
      <c r="H47" s="81"/>
      <c r="I47" s="95">
        <v>85</v>
      </c>
      <c r="J47" s="95">
        <v>95</v>
      </c>
      <c r="K47" s="95">
        <v>99</v>
      </c>
      <c r="L47" s="24">
        <v>107</v>
      </c>
      <c r="M47" s="95">
        <v>107</v>
      </c>
      <c r="N47" s="95">
        <v>120</v>
      </c>
      <c r="O47" s="95">
        <v>119</v>
      </c>
      <c r="P47" s="24">
        <v>123</v>
      </c>
      <c r="Q47" s="95">
        <v>126</v>
      </c>
      <c r="R47" s="95">
        <v>140</v>
      </c>
      <c r="S47" s="95">
        <v>146</v>
      </c>
      <c r="T47" s="32">
        <v>147</v>
      </c>
      <c r="U47" s="95">
        <v>149</v>
      </c>
      <c r="V47" s="95">
        <v>162</v>
      </c>
      <c r="W47" s="95">
        <v>159</v>
      </c>
      <c r="X47" s="32">
        <v>153</v>
      </c>
      <c r="Y47" s="82">
        <v>156</v>
      </c>
      <c r="Z47" s="82">
        <v>169</v>
      </c>
      <c r="AA47" s="81">
        <v>175</v>
      </c>
      <c r="AB47" s="5"/>
      <c r="AC47" s="32">
        <f t="shared" si="131"/>
        <v>559</v>
      </c>
      <c r="AD47" s="32">
        <f t="shared" si="132"/>
        <v>582</v>
      </c>
      <c r="AE47" s="32">
        <f t="shared" si="133"/>
        <v>604</v>
      </c>
      <c r="AF47" s="32">
        <f t="shared" si="134"/>
        <v>617</v>
      </c>
      <c r="AG47" s="32">
        <f t="shared" si="135"/>
        <v>623</v>
      </c>
      <c r="AH47" s="32">
        <f t="shared" si="136"/>
        <v>630</v>
      </c>
      <c r="AI47" s="32">
        <f t="shared" si="137"/>
        <v>637</v>
      </c>
      <c r="AJ47" s="32">
        <f t="shared" si="138"/>
        <v>653</v>
      </c>
    </row>
    <row r="48" spans="1:48">
      <c r="B48" s="13" t="s">
        <v>157</v>
      </c>
      <c r="C48" s="14">
        <f t="shared" ref="C48:D48" si="139">SUM(C44:C47)</f>
        <v>9693</v>
      </c>
      <c r="D48" s="14">
        <f t="shared" si="139"/>
        <v>11875</v>
      </c>
      <c r="E48" s="14">
        <f>SUM(E44:E47)</f>
        <v>12743</v>
      </c>
      <c r="F48" s="14">
        <f>SUM(F44:F47)</f>
        <v>14240</v>
      </c>
      <c r="G48" s="14">
        <f>SUM(G44:G47)</f>
        <v>16747</v>
      </c>
      <c r="H48" s="11"/>
      <c r="I48" s="14">
        <f t="shared" ref="I48" si="140">SUM(I44:I47)</f>
        <v>2739</v>
      </c>
      <c r="J48" s="14">
        <f t="shared" ref="J48" si="141">SUM(J44:J47)</f>
        <v>3077</v>
      </c>
      <c r="K48" s="14">
        <f t="shared" ref="K48:P48" si="142">SUM(K44:K47)</f>
        <v>2932</v>
      </c>
      <c r="L48" s="14">
        <f t="shared" si="142"/>
        <v>3127</v>
      </c>
      <c r="M48" s="14">
        <f t="shared" si="142"/>
        <v>3026</v>
      </c>
      <c r="N48" s="14">
        <f t="shared" si="142"/>
        <v>3244</v>
      </c>
      <c r="O48" s="14">
        <f t="shared" si="142"/>
        <v>3170</v>
      </c>
      <c r="P48" s="14">
        <f t="shared" si="142"/>
        <v>3303</v>
      </c>
      <c r="Q48" s="14">
        <f t="shared" ref="Q48:AA48" si="143">SUM(Q44:Q47)</f>
        <v>3389</v>
      </c>
      <c r="R48" s="14">
        <f t="shared" si="143"/>
        <v>3599</v>
      </c>
      <c r="S48" s="14">
        <f t="shared" si="143"/>
        <v>3527</v>
      </c>
      <c r="T48" s="14">
        <f t="shared" si="143"/>
        <v>3725</v>
      </c>
      <c r="U48" s="14">
        <f t="shared" si="143"/>
        <v>3857</v>
      </c>
      <c r="V48" s="14">
        <f t="shared" si="143"/>
        <v>4120</v>
      </c>
      <c r="W48" s="14">
        <f t="shared" si="143"/>
        <v>4209</v>
      </c>
      <c r="X48" s="14">
        <f t="shared" si="143"/>
        <v>4561</v>
      </c>
      <c r="Y48" s="14">
        <f t="shared" si="143"/>
        <v>4663</v>
      </c>
      <c r="Z48" s="14">
        <f t="shared" si="143"/>
        <v>5061</v>
      </c>
      <c r="AA48" s="14">
        <f t="shared" si="143"/>
        <v>5065</v>
      </c>
      <c r="AB48" s="5"/>
      <c r="AC48" s="14">
        <f t="shared" ref="AC48:AJ48" si="144">SUM(AC44:AC47)</f>
        <v>14240</v>
      </c>
      <c r="AD48" s="14">
        <f t="shared" si="144"/>
        <v>14708</v>
      </c>
      <c r="AE48" s="14">
        <f t="shared" si="144"/>
        <v>15229</v>
      </c>
      <c r="AF48" s="14">
        <f t="shared" si="144"/>
        <v>15911</v>
      </c>
      <c r="AG48" s="14">
        <f t="shared" si="144"/>
        <v>16747</v>
      </c>
      <c r="AH48" s="14">
        <f t="shared" si="144"/>
        <v>17553</v>
      </c>
      <c r="AI48" s="14">
        <f t="shared" si="144"/>
        <v>18494</v>
      </c>
      <c r="AJ48" s="14">
        <f t="shared" si="144"/>
        <v>19350</v>
      </c>
    </row>
    <row r="49" spans="2:36">
      <c r="B49" s="18"/>
      <c r="C49" s="19"/>
      <c r="D49" s="19"/>
      <c r="E49" s="19"/>
      <c r="F49" s="19"/>
      <c r="G49" s="19"/>
      <c r="H49" s="20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2"/>
      <c r="U49" s="21"/>
      <c r="V49" s="21"/>
      <c r="W49" s="21"/>
      <c r="X49" s="21"/>
      <c r="Y49" s="21"/>
      <c r="Z49" s="21"/>
      <c r="AA49" s="21"/>
      <c r="AB49" s="20"/>
      <c r="AC49" s="20"/>
      <c r="AD49" s="20"/>
      <c r="AE49" s="20"/>
      <c r="AF49" s="20"/>
      <c r="AG49" s="20"/>
      <c r="AH49" s="20"/>
      <c r="AI49" s="20"/>
      <c r="AJ49" s="20"/>
    </row>
    <row r="50" spans="2:36">
      <c r="B50" s="152" t="str">
        <f>B44&amp;"(%)"</f>
        <v>U.S. Revenues(%)</v>
      </c>
      <c r="C50" s="153">
        <f t="shared" ref="C50:D50" si="145">SUM(C44/C$12)</f>
        <v>0.55563401593866635</v>
      </c>
      <c r="D50" s="153">
        <f t="shared" si="145"/>
        <v>0.58113684210526317</v>
      </c>
      <c r="E50" s="153">
        <f>SUM(E44/E$12)</f>
        <v>0.59896405587819812</v>
      </c>
      <c r="F50" s="153">
        <f>SUM(F44/F$12)</f>
        <v>0.5916432584269663</v>
      </c>
      <c r="G50" s="153">
        <f>SUM(G44/G$12)</f>
        <v>0.60966143189825039</v>
      </c>
      <c r="H50" s="154"/>
      <c r="I50" s="153">
        <f t="shared" ref="I50:J50" si="146">SUM(I44/I$12)</f>
        <v>0.5757575757575758</v>
      </c>
      <c r="J50" s="153">
        <f t="shared" si="146"/>
        <v>0.59269015475798481</v>
      </c>
      <c r="K50" s="153">
        <f t="shared" ref="K50:P50" si="147">SUM(K44/K$12)</f>
        <v>0.59251630621352558</v>
      </c>
      <c r="L50" s="153">
        <f t="shared" si="147"/>
        <v>0.58037443511943188</v>
      </c>
      <c r="M50" s="153">
        <f t="shared" si="147"/>
        <v>0.59385437541750163</v>
      </c>
      <c r="N50" s="153">
        <f t="shared" si="147"/>
        <v>0.60456392622694588</v>
      </c>
      <c r="O50" s="153">
        <f t="shared" si="147"/>
        <v>0.61907810499359794</v>
      </c>
      <c r="P50" s="153">
        <f t="shared" si="147"/>
        <v>0.60957642725598526</v>
      </c>
      <c r="Q50" s="153">
        <f t="shared" ref="Q50:AA50" si="148">SUM(Q44/Q$12)</f>
        <v>0.60331325301204819</v>
      </c>
      <c r="R50" s="153">
        <f t="shared" si="148"/>
        <v>0.59655074922250495</v>
      </c>
      <c r="S50" s="153">
        <f t="shared" si="148"/>
        <v>0.60999709386806156</v>
      </c>
      <c r="T50" s="153">
        <f t="shared" si="148"/>
        <v>0.60580344921981932</v>
      </c>
      <c r="U50" s="153">
        <f t="shared" si="148"/>
        <v>0.60261542567387238</v>
      </c>
      <c r="V50" s="153">
        <f t="shared" si="148"/>
        <v>0.6152694610778443</v>
      </c>
      <c r="W50" s="153">
        <f t="shared" si="148"/>
        <v>0.63460597161037691</v>
      </c>
      <c r="X50" s="153">
        <f t="shared" si="148"/>
        <v>0.65824800910125147</v>
      </c>
      <c r="Y50" s="153">
        <f t="shared" si="148"/>
        <v>0.65661047027506658</v>
      </c>
      <c r="Z50" s="153">
        <f t="shared" si="148"/>
        <v>0.65822784810126578</v>
      </c>
      <c r="AA50" s="153">
        <f t="shared" si="148"/>
        <v>0.67210773311569072</v>
      </c>
      <c r="AB50" s="154"/>
      <c r="AC50" s="155">
        <f t="shared" ref="AC50" si="149">T50</f>
        <v>0.60580344921981932</v>
      </c>
      <c r="AD50" s="155">
        <f t="shared" ref="AD50" si="150">U50</f>
        <v>0.60261542567387238</v>
      </c>
      <c r="AE50" s="155">
        <f t="shared" ref="AE50" si="151">V50</f>
        <v>0.6152694610778443</v>
      </c>
      <c r="AF50" s="155">
        <f t="shared" ref="AF50" si="152">W50</f>
        <v>0.63460597161037691</v>
      </c>
      <c r="AG50" s="155">
        <f t="shared" ref="AG50" si="153">X50</f>
        <v>0.65824800910125147</v>
      </c>
      <c r="AH50" s="155">
        <f t="shared" ref="AH50" si="154">Y50</f>
        <v>0.65661047027506658</v>
      </c>
      <c r="AI50" s="155">
        <f t="shared" ref="AI50" si="155">Z50</f>
        <v>0.65822784810126578</v>
      </c>
      <c r="AJ50" s="156">
        <f t="shared" ref="AJ50" si="156">AA50</f>
        <v>0.67210773311569072</v>
      </c>
    </row>
    <row r="51" spans="2:36">
      <c r="B51" s="162" t="str">
        <f t="shared" ref="B51:B53" si="157">B45&amp;"(%)"</f>
        <v>Euro, Mid. East, Afr(%)</v>
      </c>
      <c r="C51" s="163">
        <f t="shared" ref="C51:D51" si="158">SUM(C45/C$12)</f>
        <v>0.211540401492989</v>
      </c>
      <c r="D51" s="163">
        <f t="shared" si="158"/>
        <v>0.21204210526315789</v>
      </c>
      <c r="E51" s="163">
        <f t="shared" ref="E51:G51" si="159">SUM(E45/E$12)</f>
        <v>0.19824203421754827</v>
      </c>
      <c r="F51" s="163">
        <f t="shared" si="159"/>
        <v>0.200561797752809</v>
      </c>
      <c r="G51" s="163">
        <f t="shared" si="159"/>
        <v>0.19275094046694929</v>
      </c>
      <c r="H51" s="164"/>
      <c r="I51" s="163">
        <f t="shared" ref="I51:J51" si="160">SUM(I45/I$12)</f>
        <v>0.22051843738590726</v>
      </c>
      <c r="J51" s="163">
        <f t="shared" si="160"/>
        <v>0.21797826802765888</v>
      </c>
      <c r="K51" s="163">
        <f t="shared" ref="K51:P51" si="161">SUM(K45/K$12)</f>
        <v>0.20254033642293168</v>
      </c>
      <c r="L51" s="163">
        <f t="shared" si="161"/>
        <v>0.21368624919302776</v>
      </c>
      <c r="M51" s="163">
        <f t="shared" si="161"/>
        <v>0.20841683366733466</v>
      </c>
      <c r="N51" s="163">
        <f t="shared" si="161"/>
        <v>0.20631447327289779</v>
      </c>
      <c r="O51" s="163">
        <f t="shared" si="161"/>
        <v>0.18725992317541612</v>
      </c>
      <c r="P51" s="163">
        <f t="shared" si="161"/>
        <v>0.20165745856353592</v>
      </c>
      <c r="Q51" s="163">
        <f t="shared" ref="Q51:AA51" si="162">SUM(Q45/Q$12)</f>
        <v>0.21445783132530122</v>
      </c>
      <c r="R51" s="163">
        <f t="shared" si="162"/>
        <v>0.20441051738761662</v>
      </c>
      <c r="S51" s="163">
        <f t="shared" si="162"/>
        <v>0.19500145306596919</v>
      </c>
      <c r="T51" s="163">
        <f t="shared" si="162"/>
        <v>0.20531070353134409</v>
      </c>
      <c r="U51" s="163">
        <f t="shared" si="162"/>
        <v>0.21430477715505739</v>
      </c>
      <c r="V51" s="163">
        <f t="shared" si="162"/>
        <v>0.20508982035928144</v>
      </c>
      <c r="W51" s="163">
        <f t="shared" si="162"/>
        <v>0.18918257464512972</v>
      </c>
      <c r="X51" s="163">
        <f t="shared" si="162"/>
        <v>0.18885096700796358</v>
      </c>
      <c r="Y51" s="163">
        <f t="shared" si="162"/>
        <v>0.18766637089618457</v>
      </c>
      <c r="Z51" s="163">
        <f t="shared" si="162"/>
        <v>0.17925683952633728</v>
      </c>
      <c r="AA51" s="163">
        <f t="shared" si="162"/>
        <v>0.16180371352785147</v>
      </c>
      <c r="AB51" s="164"/>
      <c r="AC51" s="165">
        <f t="shared" ref="AC51:AC53" si="163">T51</f>
        <v>0.20531070353134409</v>
      </c>
      <c r="AD51" s="165">
        <f t="shared" ref="AD51:AD53" si="164">U51</f>
        <v>0.21430477715505739</v>
      </c>
      <c r="AE51" s="165">
        <f t="shared" ref="AE51:AE53" si="165">V51</f>
        <v>0.20508982035928144</v>
      </c>
      <c r="AF51" s="165">
        <f t="shared" ref="AF51:AF53" si="166">W51</f>
        <v>0.18918257464512972</v>
      </c>
      <c r="AG51" s="165">
        <f t="shared" ref="AG51:AG53" si="167">X51</f>
        <v>0.18885096700796358</v>
      </c>
      <c r="AH51" s="165">
        <f t="shared" ref="AH51:AH53" si="168">Y51</f>
        <v>0.18766637089618457</v>
      </c>
      <c r="AI51" s="165">
        <f t="shared" ref="AI51:AI53" si="169">Z51</f>
        <v>0.17925683952633728</v>
      </c>
      <c r="AJ51" s="166">
        <f t="shared" ref="AJ51:AJ53" si="170">AA51</f>
        <v>0.16180371352785147</v>
      </c>
    </row>
    <row r="52" spans="2:36">
      <c r="B52" s="162" t="str">
        <f t="shared" si="157"/>
        <v>A-Pac(%)</v>
      </c>
      <c r="C52" s="163">
        <f t="shared" ref="C52:D52" si="171">SUM(C46/C$12)</f>
        <v>0.17966306869766974</v>
      </c>
      <c r="D52" s="163">
        <f t="shared" si="171"/>
        <v>0.1743157894736842</v>
      </c>
      <c r="E52" s="163">
        <f t="shared" ref="E52:G52" si="172">SUM(E46/E$12)</f>
        <v>0.16606498194945848</v>
      </c>
      <c r="F52" s="163">
        <f t="shared" si="172"/>
        <v>0.16853932584269662</v>
      </c>
      <c r="G52" s="163">
        <f t="shared" si="172"/>
        <v>0.16038693497342807</v>
      </c>
      <c r="H52" s="164"/>
      <c r="I52" s="163">
        <f t="shared" ref="I52:J52" si="173">SUM(I46/I$12)</f>
        <v>0.17269076305220885</v>
      </c>
      <c r="J52" s="163">
        <f t="shared" si="173"/>
        <v>0.17122160026341784</v>
      </c>
      <c r="K52" s="163">
        <f t="shared" ref="K52:P52" si="174">SUM(K46/K$12)</f>
        <v>0.1774802608994164</v>
      </c>
      <c r="L52" s="163">
        <f t="shared" si="174"/>
        <v>0.18076178179470626</v>
      </c>
      <c r="M52" s="163">
        <f t="shared" si="174"/>
        <v>0.17267869071476286</v>
      </c>
      <c r="N52" s="163">
        <f t="shared" si="174"/>
        <v>0.16567677399187247</v>
      </c>
      <c r="O52" s="163">
        <f t="shared" si="174"/>
        <v>0.17029449423815621</v>
      </c>
      <c r="P52" s="163">
        <f t="shared" si="174"/>
        <v>0.16482504604051565</v>
      </c>
      <c r="Q52" s="163">
        <f t="shared" ref="Q52:AA52" si="175">SUM(Q46/Q$12)</f>
        <v>0.16506024096385541</v>
      </c>
      <c r="R52" s="163">
        <f t="shared" si="175"/>
        <v>0.17698614645179531</v>
      </c>
      <c r="S52" s="163">
        <f t="shared" si="175"/>
        <v>0.17756466143562918</v>
      </c>
      <c r="T52" s="163">
        <f t="shared" si="175"/>
        <v>0.16835477689570216</v>
      </c>
      <c r="U52" s="163">
        <f t="shared" si="175"/>
        <v>0.17267147050974113</v>
      </c>
      <c r="V52" s="163">
        <f t="shared" si="175"/>
        <v>0.16716566866267465</v>
      </c>
      <c r="W52" s="163">
        <f t="shared" si="175"/>
        <v>0.16740088105726872</v>
      </c>
      <c r="X52" s="163">
        <f t="shared" si="175"/>
        <v>0.15585893060295791</v>
      </c>
      <c r="Y52" s="163">
        <f t="shared" si="175"/>
        <v>0.15550133096716948</v>
      </c>
      <c r="Z52" s="163">
        <f t="shared" si="175"/>
        <v>0.16129032258064516</v>
      </c>
      <c r="AA52" s="163">
        <f t="shared" si="175"/>
        <v>0.16384411344623545</v>
      </c>
      <c r="AB52" s="164"/>
      <c r="AC52" s="165">
        <f t="shared" si="163"/>
        <v>0.16835477689570216</v>
      </c>
      <c r="AD52" s="165">
        <f t="shared" si="164"/>
        <v>0.17267147050974113</v>
      </c>
      <c r="AE52" s="165">
        <f t="shared" si="165"/>
        <v>0.16716566866267465</v>
      </c>
      <c r="AF52" s="165">
        <f t="shared" si="166"/>
        <v>0.16740088105726872</v>
      </c>
      <c r="AG52" s="165">
        <f t="shared" si="167"/>
        <v>0.15585893060295791</v>
      </c>
      <c r="AH52" s="165">
        <f t="shared" si="168"/>
        <v>0.15550133096716948</v>
      </c>
      <c r="AI52" s="165">
        <f t="shared" si="169"/>
        <v>0.16129032258064516</v>
      </c>
      <c r="AJ52" s="166">
        <f t="shared" si="170"/>
        <v>0.16384411344623545</v>
      </c>
    </row>
    <row r="53" spans="2:36" ht="12.75" customHeight="1">
      <c r="B53" s="157" t="str">
        <f t="shared" si="157"/>
        <v>Lat Am + Canada(%)</v>
      </c>
      <c r="C53" s="158">
        <f t="shared" ref="C53:D53" si="176">SUM(C47/C$12)</f>
        <v>3.0969434076465248E-2</v>
      </c>
      <c r="D53" s="158">
        <f t="shared" si="176"/>
        <v>3.2505263157894738E-2</v>
      </c>
      <c r="E53" s="158">
        <f t="shared" ref="E53:G53" si="177">SUM(E47/E$12)</f>
        <v>3.6807408570083189E-2</v>
      </c>
      <c r="F53" s="158">
        <f t="shared" si="177"/>
        <v>3.9255617977528093E-2</v>
      </c>
      <c r="G53" s="158">
        <f t="shared" si="177"/>
        <v>3.7200692661372187E-2</v>
      </c>
      <c r="H53" s="159"/>
      <c r="I53" s="158">
        <f t="shared" ref="I53:J53" si="178">SUM(I47/I$12)</f>
        <v>3.1033223804308143E-2</v>
      </c>
      <c r="J53" s="158">
        <f t="shared" si="178"/>
        <v>3.1280869278893647E-2</v>
      </c>
      <c r="K53" s="158">
        <f t="shared" ref="K53:P53" si="179">SUM(K47/K$12)</f>
        <v>3.3985581874356331E-2</v>
      </c>
      <c r="L53" s="158">
        <f t="shared" si="179"/>
        <v>3.4538411878631374E-2</v>
      </c>
      <c r="M53" s="158">
        <f t="shared" si="179"/>
        <v>3.5738142952571814E-2</v>
      </c>
      <c r="N53" s="158">
        <f t="shared" si="179"/>
        <v>3.7511722413254144E-2</v>
      </c>
      <c r="O53" s="158">
        <f t="shared" si="179"/>
        <v>3.8092189500640201E-2</v>
      </c>
      <c r="P53" s="158">
        <f t="shared" si="179"/>
        <v>3.7753222836095765E-2</v>
      </c>
      <c r="Q53" s="158">
        <f t="shared" ref="Q53:AA53" si="180">SUM(Q47/Q$12)</f>
        <v>3.7951807228915661E-2</v>
      </c>
      <c r="R53" s="158">
        <f t="shared" si="180"/>
        <v>3.9581566299123551E-2</v>
      </c>
      <c r="S53" s="158">
        <f t="shared" si="180"/>
        <v>4.2429526300494042E-2</v>
      </c>
      <c r="T53" s="158">
        <f t="shared" si="180"/>
        <v>4.0240897892143447E-2</v>
      </c>
      <c r="U53" s="158">
        <f t="shared" si="180"/>
        <v>3.976514544969309E-2</v>
      </c>
      <c r="V53" s="158">
        <f t="shared" si="180"/>
        <v>4.0419161676646706E-2</v>
      </c>
      <c r="W53" s="158">
        <f t="shared" si="180"/>
        <v>3.8913362701908955E-2</v>
      </c>
      <c r="X53" s="158">
        <f t="shared" si="180"/>
        <v>3.4812286689419797E-2</v>
      </c>
      <c r="Y53" s="158">
        <f t="shared" si="180"/>
        <v>3.4605146406388641E-2</v>
      </c>
      <c r="Z53" s="158">
        <f t="shared" si="180"/>
        <v>3.4503879134340547E-2</v>
      </c>
      <c r="AA53" s="158">
        <f t="shared" si="180"/>
        <v>3.5706998571720057E-2</v>
      </c>
      <c r="AB53" s="159"/>
      <c r="AC53" s="160">
        <f t="shared" si="163"/>
        <v>4.0240897892143447E-2</v>
      </c>
      <c r="AD53" s="160">
        <f t="shared" si="164"/>
        <v>3.976514544969309E-2</v>
      </c>
      <c r="AE53" s="160">
        <f t="shared" si="165"/>
        <v>4.0419161676646706E-2</v>
      </c>
      <c r="AF53" s="160">
        <f t="shared" si="166"/>
        <v>3.8913362701908955E-2</v>
      </c>
      <c r="AG53" s="160">
        <f t="shared" si="167"/>
        <v>3.4812286689419797E-2</v>
      </c>
      <c r="AH53" s="160">
        <f t="shared" si="168"/>
        <v>3.4605146406388641E-2</v>
      </c>
      <c r="AI53" s="160">
        <f t="shared" si="169"/>
        <v>3.4503879134340547E-2</v>
      </c>
      <c r="AJ53" s="161">
        <f t="shared" si="170"/>
        <v>3.5706998571720057E-2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 xml:space="preserve">Boston Scientific Corp. (NYSE: BSX) 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71" t="s">
        <v>22</v>
      </c>
    </row>
    <row r="3" spans="2:29" s="5" customFormat="1" ht="12.75" customHeight="1">
      <c r="B3" s="6" t="s">
        <v>23</v>
      </c>
      <c r="C3" s="7" t="e">
        <f>'Historical Financials'!#REF!</f>
        <v>#REF!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Financials'!Q7</f>
        <v>1Q23</v>
      </c>
      <c r="I3" s="7" t="str">
        <f>'Historical Financials'!R7</f>
        <v>2Q23</v>
      </c>
      <c r="J3" s="7" t="str">
        <f>'Historical Financials'!S7</f>
        <v>3Q23</v>
      </c>
      <c r="K3" s="7" t="str">
        <f>'Historical Financials'!T7</f>
        <v>4Q23</v>
      </c>
      <c r="L3" s="7" t="str">
        <f>'Historical Financials'!U7</f>
        <v>1Q24</v>
      </c>
      <c r="M3" s="7" t="str">
        <f>'Historical Financials'!V7</f>
        <v>2Q24</v>
      </c>
      <c r="N3" s="7" t="str">
        <f>'Historical Financials'!W7</f>
        <v>3Q24</v>
      </c>
      <c r="O3" s="7" t="str">
        <f>'Historical Financials'!X7</f>
        <v>4Q24</v>
      </c>
      <c r="P3" s="7" t="str">
        <f>'Historical Financials'!Y7</f>
        <v>1Q25</v>
      </c>
      <c r="Q3" s="7" t="str">
        <f>'Historical Financials'!Z7</f>
        <v>2Q25</v>
      </c>
      <c r="R3" s="7" t="str">
        <f>'Historical Financials'!AA7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71"/>
    </row>
    <row r="4" spans="2:29" s="5" customFormat="1" ht="12.75" customHeight="1">
      <c r="B4" s="6" t="s">
        <v>71</v>
      </c>
      <c r="C4" s="3" t="e">
        <f>'Historical Financials'!#REF!</f>
        <v>#REF!</v>
      </c>
      <c r="D4" s="3">
        <f>'Historical Financials'!E8</f>
        <v>44926</v>
      </c>
      <c r="E4" s="3">
        <f>'Historical Financials'!F8</f>
        <v>45291</v>
      </c>
      <c r="F4" s="3">
        <f>'Historical Financials'!G8</f>
        <v>45657</v>
      </c>
      <c r="G4" s="3"/>
      <c r="H4" s="3">
        <f>'Historical Financials'!Q8</f>
        <v>45016</v>
      </c>
      <c r="I4" s="3">
        <f>'Historical Financials'!R8</f>
        <v>45107</v>
      </c>
      <c r="J4" s="3">
        <f>'Historical Financials'!S8</f>
        <v>45199</v>
      </c>
      <c r="K4" s="3">
        <f>'Historical Financials'!T8</f>
        <v>45291</v>
      </c>
      <c r="L4" s="3">
        <f>'Historical Financials'!U8</f>
        <v>45382</v>
      </c>
      <c r="M4" s="3">
        <f>'Historical Financials'!V8</f>
        <v>45473</v>
      </c>
      <c r="N4" s="3">
        <f>'Historical Financials'!W8</f>
        <v>45565</v>
      </c>
      <c r="O4" s="3">
        <f>'Historical Financials'!X8</f>
        <v>45657</v>
      </c>
      <c r="P4" s="3">
        <f>'Historical Financials'!Y8</f>
        <v>45747</v>
      </c>
      <c r="Q4" s="3">
        <f>'Historical Financials'!Z8</f>
        <v>45838</v>
      </c>
      <c r="R4" s="3">
        <f>'Historical Financials'!AA8</f>
        <v>45930</v>
      </c>
      <c r="S4" s="3"/>
      <c r="T4" s="3">
        <f t="shared" si="0"/>
        <v>45291</v>
      </c>
      <c r="U4" s="3">
        <f t="shared" si="0"/>
        <v>45382</v>
      </c>
      <c r="V4" s="3">
        <f t="shared" si="0"/>
        <v>45473</v>
      </c>
      <c r="W4" s="3">
        <f t="shared" si="0"/>
        <v>45565</v>
      </c>
      <c r="X4" s="3">
        <f t="shared" si="0"/>
        <v>45657</v>
      </c>
      <c r="Y4" s="3">
        <f t="shared" si="0"/>
        <v>45747</v>
      </c>
      <c r="Z4" s="3">
        <f t="shared" si="0"/>
        <v>45838</v>
      </c>
      <c r="AA4" s="3">
        <f t="shared" si="0"/>
        <v>45930</v>
      </c>
      <c r="AB4" s="3"/>
      <c r="AC4" s="171"/>
    </row>
    <row r="5" spans="2:29" ht="5.0999999999999996" customHeight="1">
      <c r="AC5" s="125"/>
    </row>
    <row r="6" spans="2:29" ht="12.75" customHeight="1">
      <c r="B6" s="9" t="str">
        <f>'Revenue Drivers'!B9</f>
        <v xml:space="preserve">MedSurg </v>
      </c>
      <c r="C6" s="94">
        <f>'Revenue Drivers'!E9</f>
        <v>4911</v>
      </c>
      <c r="D6" s="94">
        <f>'Revenue Drivers'!F9</f>
        <v>5422</v>
      </c>
      <c r="E6" s="94">
        <f>'Revenue Drivers'!G9</f>
        <v>5993</v>
      </c>
      <c r="F6" s="94" t="e">
        <f>'Revenue Drivers'!#REF!</f>
        <v>#REF!</v>
      </c>
      <c r="G6" s="10"/>
      <c r="H6" s="94">
        <f>'Revenue Drivers'!Q9</f>
        <v>1280</v>
      </c>
      <c r="I6" s="94">
        <f>'Revenue Drivers'!R9</f>
        <v>1359</v>
      </c>
      <c r="J6" s="94">
        <f>'Revenue Drivers'!S9</f>
        <v>1341</v>
      </c>
      <c r="K6" s="94">
        <f>'Revenue Drivers'!T9</f>
        <v>1442</v>
      </c>
      <c r="L6" s="94">
        <f>'Revenue Drivers'!U9</f>
        <v>1411</v>
      </c>
      <c r="M6" s="94">
        <f>'Revenue Drivers'!V9</f>
        <v>1482</v>
      </c>
      <c r="N6" s="94">
        <f>'Revenue Drivers'!W9</f>
        <v>1478</v>
      </c>
      <c r="O6" s="94">
        <f>'Revenue Drivers'!X9</f>
        <v>1622</v>
      </c>
      <c r="P6" s="94">
        <f>'Revenue Drivers'!Y9</f>
        <v>1577</v>
      </c>
      <c r="Q6" s="94">
        <f>'Revenue Drivers'!Z9</f>
        <v>1716</v>
      </c>
      <c r="R6" s="94">
        <f>'Revenue Drivers'!AA9</f>
        <v>1722</v>
      </c>
      <c r="S6" s="5"/>
      <c r="T6" s="142">
        <f t="shared" ref="T6:Z9" si="1">SUM(H6:K6)</f>
        <v>5422</v>
      </c>
      <c r="U6" s="142">
        <f t="shared" si="1"/>
        <v>5553</v>
      </c>
      <c r="V6" s="142">
        <f t="shared" si="1"/>
        <v>5676</v>
      </c>
      <c r="W6" s="142">
        <f t="shared" si="1"/>
        <v>5813</v>
      </c>
      <c r="X6" s="142">
        <f t="shared" si="1"/>
        <v>5993</v>
      </c>
      <c r="Y6" s="142">
        <f t="shared" si="1"/>
        <v>6159</v>
      </c>
      <c r="Z6" s="142">
        <f t="shared" si="1"/>
        <v>6393</v>
      </c>
      <c r="AA6" s="142">
        <f>SUM(O6:R6)</f>
        <v>6637</v>
      </c>
      <c r="AC6" s="126">
        <f t="shared" ref="AC6:AC10" si="2">SUM(AA6/W6)-1</f>
        <v>0.14175124720454146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Drivers'!B11</f>
        <v>Peripheral Interventions</v>
      </c>
      <c r="C9" s="94">
        <f>'Revenue Drivers'!E11</f>
        <v>1899</v>
      </c>
      <c r="D9" s="94">
        <f>'Revenue Drivers'!F11</f>
        <v>2109</v>
      </c>
      <c r="E9" s="94">
        <f>'Revenue Drivers'!G11</f>
        <v>2410</v>
      </c>
      <c r="F9" s="94" t="e">
        <f>'Revenue Drivers'!#REF!</f>
        <v>#REF!</v>
      </c>
      <c r="G9" s="10"/>
      <c r="H9" s="94">
        <f>'Revenue Drivers'!Q11</f>
        <v>433</v>
      </c>
      <c r="I9" s="94">
        <f>'Revenue Drivers'!R11</f>
        <v>473</v>
      </c>
      <c r="J9" s="94">
        <f>'Revenue Drivers'!S11</f>
        <v>452</v>
      </c>
      <c r="K9" s="94">
        <f>'Revenue Drivers'!T11</f>
        <v>462</v>
      </c>
      <c r="L9" s="94">
        <f>'Revenue Drivers'!U11</f>
        <v>465</v>
      </c>
      <c r="M9" s="94">
        <f>'Revenue Drivers'!V11</f>
        <v>478</v>
      </c>
      <c r="N9" s="94">
        <f>'Revenue Drivers'!W11</f>
        <v>479</v>
      </c>
      <c r="O9" s="94">
        <f>'Revenue Drivers'!X11</f>
        <v>477</v>
      </c>
      <c r="P9" s="94">
        <f>'Revenue Drivers'!Y11</f>
        <v>502</v>
      </c>
      <c r="Q9" s="94">
        <f>'Revenue Drivers'!Z11</f>
        <v>535</v>
      </c>
      <c r="R9" s="94">
        <f>'Revenue Drivers'!AA11</f>
        <v>538</v>
      </c>
      <c r="S9" s="5"/>
      <c r="T9" s="142">
        <f t="shared" si="1"/>
        <v>1820</v>
      </c>
      <c r="U9" s="142">
        <f t="shared" si="1"/>
        <v>1852</v>
      </c>
      <c r="V9" s="142">
        <f t="shared" si="1"/>
        <v>1857</v>
      </c>
      <c r="W9" s="142">
        <f t="shared" si="1"/>
        <v>1884</v>
      </c>
      <c r="X9" s="142">
        <f t="shared" si="1"/>
        <v>1899</v>
      </c>
      <c r="Y9" s="142">
        <f t="shared" si="1"/>
        <v>1936</v>
      </c>
      <c r="Z9" s="142">
        <f t="shared" si="1"/>
        <v>1993</v>
      </c>
      <c r="AA9" s="142">
        <f>SUM(O9:R9)</f>
        <v>2052</v>
      </c>
      <c r="AC9" s="126">
        <f t="shared" si="2"/>
        <v>8.9171974522292974E-2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114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115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118</v>
      </c>
      <c r="C19" s="141" t="e">
        <f>'Historical Financials'!#REF!</f>
        <v>#REF!</v>
      </c>
      <c r="D19" s="141">
        <f>'Historical Financials'!E17</f>
        <v>-4520</v>
      </c>
      <c r="E19" s="141">
        <f>'Historical Financials'!F17</f>
        <v>-5190</v>
      </c>
      <c r="F19" s="141">
        <f>'Historical Financials'!G17</f>
        <v>-5984</v>
      </c>
      <c r="G19" s="94"/>
      <c r="H19" s="141">
        <f>'Historical Financials'!Q17</f>
        <v>-1215</v>
      </c>
      <c r="I19" s="141">
        <f>'Historical Financials'!R17</f>
        <v>-1354</v>
      </c>
      <c r="J19" s="141">
        <f>'Historical Financials'!S17</f>
        <v>-1242</v>
      </c>
      <c r="K19" s="141">
        <f>'Historical Financials'!T17</f>
        <v>-1379</v>
      </c>
      <c r="L19" s="141">
        <f>'Historical Financials'!U17</f>
        <v>-1364</v>
      </c>
      <c r="M19" s="141">
        <f>'Historical Financials'!V17</f>
        <v>-1446</v>
      </c>
      <c r="N19" s="141">
        <f>'Historical Financials'!W17</f>
        <v>-1562</v>
      </c>
      <c r="O19" s="141">
        <f>'Historical Financials'!X17</f>
        <v>-1612</v>
      </c>
      <c r="P19" s="141">
        <f>'Historical Financials'!Y17</f>
        <v>-1597</v>
      </c>
      <c r="Q19" s="141">
        <f>'Historical Financials'!Z17</f>
        <v>-1716</v>
      </c>
      <c r="R19" s="141">
        <f>'Historical Financials'!AA17</f>
        <v>-1741</v>
      </c>
      <c r="S19" s="5"/>
      <c r="T19" s="142">
        <f t="shared" ref="T19:Z23" si="32">SUM(H19:K19)</f>
        <v>-5190</v>
      </c>
      <c r="U19" s="142">
        <f t="shared" si="32"/>
        <v>-5339</v>
      </c>
      <c r="V19" s="142">
        <f t="shared" si="32"/>
        <v>-5431</v>
      </c>
      <c r="W19" s="142">
        <f t="shared" si="32"/>
        <v>-5751</v>
      </c>
      <c r="X19" s="142">
        <f t="shared" si="32"/>
        <v>-5984</v>
      </c>
      <c r="Y19" s="142">
        <f t="shared" si="32"/>
        <v>-6217</v>
      </c>
      <c r="Z19" s="142">
        <f t="shared" si="32"/>
        <v>-6487</v>
      </c>
      <c r="AA19" s="142">
        <f>SUM(O19:R19)</f>
        <v>-6666</v>
      </c>
      <c r="AC19" s="126">
        <f t="shared" ref="AC19:AC23" si="33">SUM(AA19/W19)-1</f>
        <v>0.15910276473656748</v>
      </c>
    </row>
    <row r="20" spans="2:29" ht="12.75" customHeight="1">
      <c r="B20" s="23" t="s">
        <v>119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115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116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117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 t="e">
        <f>'Historical Financials'!#REF!</f>
        <v>#REF!</v>
      </c>
      <c r="D27" s="141">
        <f>'Historical Financials'!E105</f>
        <v>22</v>
      </c>
      <c r="E27" s="141">
        <f>'Historical Financials'!F105</f>
        <v>0</v>
      </c>
      <c r="F27" s="141">
        <f>'Historical Financials'!G105</f>
        <v>0</v>
      </c>
      <c r="H27" s="141">
        <f>'Historical Financials'!Q105</f>
        <v>0</v>
      </c>
      <c r="I27" s="141">
        <f>'Historical Financials'!R105</f>
        <v>0</v>
      </c>
      <c r="J27" s="141">
        <f>'Historical Financials'!S105</f>
        <v>0</v>
      </c>
      <c r="K27" s="141">
        <f>'Historical Financials'!T105</f>
        <v>0</v>
      </c>
      <c r="L27" s="141">
        <f>'Historical Financials'!U105</f>
        <v>0</v>
      </c>
      <c r="M27" s="141">
        <f>'Historical Financials'!V105</f>
        <v>0</v>
      </c>
      <c r="N27" s="141">
        <f>'Historical Financials'!W105</f>
        <v>0</v>
      </c>
      <c r="O27" s="141">
        <f>'Historical Financials'!X105</f>
        <v>0</v>
      </c>
      <c r="P27" s="141">
        <f>'Historical Financials'!Y105</f>
        <v>0</v>
      </c>
      <c r="Q27" s="141">
        <f>'Historical Financials'!Z105</f>
        <v>0</v>
      </c>
      <c r="R27" s="141">
        <f>'Historical Financials'!AA105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120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121</v>
      </c>
      <c r="C32" s="141" t="e">
        <f>'Historical Financials'!#REF!</f>
        <v>#REF!</v>
      </c>
      <c r="D32" s="141">
        <f>'Historical Financials'!E107</f>
        <v>-63</v>
      </c>
      <c r="E32" s="141">
        <f>'Historical Financials'!F107</f>
        <v>-1</v>
      </c>
      <c r="F32" s="141">
        <f>'Historical Financials'!G107</f>
        <v>-70</v>
      </c>
      <c r="H32" s="141">
        <f>'Historical Financials'!Q107</f>
        <v>0</v>
      </c>
      <c r="I32" s="141">
        <f>'Historical Financials'!R107</f>
        <v>0</v>
      </c>
      <c r="J32" s="141">
        <f>'Historical Financials'!S107</f>
        <v>0</v>
      </c>
      <c r="K32" s="141">
        <f>'Historical Financials'!T107</f>
        <v>-1</v>
      </c>
      <c r="L32" s="141">
        <f>'Historical Financials'!U107</f>
        <v>0</v>
      </c>
      <c r="M32" s="141">
        <f>'Historical Financials'!V107</f>
        <v>0</v>
      </c>
      <c r="N32" s="141">
        <f>'Historical Financials'!W107</f>
        <v>0</v>
      </c>
      <c r="O32" s="141">
        <f>'Historical Financials'!X107</f>
        <v>-70</v>
      </c>
      <c r="P32" s="141">
        <f>'Historical Financials'!Y107</f>
        <v>0</v>
      </c>
      <c r="Q32" s="141">
        <f>'Historical Financials'!Z107</f>
        <v>0</v>
      </c>
      <c r="R32" s="141">
        <f>'Historical Financials'!AA107</f>
        <v>0</v>
      </c>
      <c r="T32" s="142">
        <f t="shared" ref="T32:Z34" si="63">SUM(H32:K32)</f>
        <v>-1</v>
      </c>
      <c r="U32" s="142">
        <f t="shared" si="63"/>
        <v>-1</v>
      </c>
      <c r="V32" s="142">
        <f t="shared" si="63"/>
        <v>-1</v>
      </c>
      <c r="W32" s="142">
        <f t="shared" si="63"/>
        <v>-1</v>
      </c>
      <c r="X32" s="142">
        <f t="shared" si="63"/>
        <v>-70</v>
      </c>
      <c r="Y32" s="142">
        <f t="shared" si="63"/>
        <v>-70</v>
      </c>
      <c r="Z32" s="142">
        <f t="shared" si="63"/>
        <v>-70</v>
      </c>
      <c r="AA32" s="142">
        <f>SUM(O32:R32)</f>
        <v>-70</v>
      </c>
      <c r="AC32" s="126">
        <f t="shared" ref="AC32:AC34" si="64">SUM(AA32/W32)-1</f>
        <v>69</v>
      </c>
    </row>
    <row r="33" spans="2:29" ht="12.75" customHeight="1">
      <c r="B33" s="23" t="s">
        <v>122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123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 t="e">
        <f>'Historical Financials'!#REF!</f>
        <v>#REF!</v>
      </c>
      <c r="D38" s="141">
        <f>'Historical Financials'!E123</f>
        <v>-588</v>
      </c>
      <c r="E38" s="141">
        <f>'Historical Financials'!F123</f>
        <v>-711</v>
      </c>
      <c r="F38" s="141">
        <f>'Historical Financials'!G123</f>
        <v>-790</v>
      </c>
      <c r="H38" s="141">
        <f>'Historical Financials'!Q123</f>
        <v>0</v>
      </c>
      <c r="I38" s="141">
        <f>'Historical Financials'!R123</f>
        <v>0</v>
      </c>
      <c r="J38" s="141">
        <f>'Historical Financials'!S123</f>
        <v>0</v>
      </c>
      <c r="K38" s="141">
        <f>'Historical Financials'!T123</f>
        <v>-711</v>
      </c>
      <c r="L38" s="141">
        <f>'Historical Financials'!U123</f>
        <v>0</v>
      </c>
      <c r="M38" s="141">
        <f>'Historical Financials'!V123</f>
        <v>0</v>
      </c>
      <c r="N38" s="141">
        <f>'Historical Financials'!W123</f>
        <v>0</v>
      </c>
      <c r="O38" s="141">
        <f>'Historical Financials'!X123</f>
        <v>-790</v>
      </c>
      <c r="P38" s="141">
        <f>'Historical Financials'!Y123</f>
        <v>0</v>
      </c>
      <c r="Q38" s="141">
        <f>'Historical Financials'!Z123</f>
        <v>0</v>
      </c>
      <c r="R38" s="141">
        <f>'Historical Financials'!AA123</f>
        <v>0</v>
      </c>
      <c r="T38" s="10">
        <f t="shared" ref="T38:AA41" si="91">SUM(H38:K38)</f>
        <v>-711</v>
      </c>
      <c r="U38" s="10">
        <f t="shared" si="91"/>
        <v>-711</v>
      </c>
      <c r="V38" s="10">
        <f t="shared" si="91"/>
        <v>-711</v>
      </c>
      <c r="W38" s="142">
        <f t="shared" si="91"/>
        <v>-711</v>
      </c>
      <c r="X38" s="142">
        <f t="shared" si="91"/>
        <v>-790</v>
      </c>
      <c r="Y38" s="142">
        <f t="shared" si="91"/>
        <v>-790</v>
      </c>
      <c r="Z38" s="142">
        <f t="shared" si="91"/>
        <v>-790</v>
      </c>
      <c r="AA38" s="142">
        <f t="shared" si="91"/>
        <v>-790</v>
      </c>
      <c r="AC38" s="126">
        <f>SUM(AA38/W38)-1</f>
        <v>0.11111111111111116</v>
      </c>
    </row>
    <row r="39" spans="2:29" ht="12.75" customHeight="1">
      <c r="B39" s="23" t="s">
        <v>36</v>
      </c>
      <c r="C39" s="141" t="e">
        <f>-'Historical Financials'!#REF!</f>
        <v>#REF!</v>
      </c>
      <c r="D39" s="141">
        <f>-'Historical Financials'!E166</f>
        <v>-662</v>
      </c>
      <c r="E39" s="141">
        <f>-'Historical Financials'!F166</f>
        <v>-512</v>
      </c>
      <c r="F39" s="141">
        <f>-'Historical Financials'!G166</f>
        <v>-656</v>
      </c>
      <c r="H39" s="141">
        <f>-'Historical Financials'!Q166</f>
        <v>0</v>
      </c>
      <c r="I39" s="141">
        <f>-'Historical Financials'!R166</f>
        <v>0</v>
      </c>
      <c r="J39" s="141">
        <f>-'Historical Financials'!S166</f>
        <v>0</v>
      </c>
      <c r="K39" s="141">
        <f>-'Historical Financials'!T166</f>
        <v>-512</v>
      </c>
      <c r="L39" s="141">
        <f>-'Historical Financials'!U166</f>
        <v>0</v>
      </c>
      <c r="M39" s="141">
        <f>-'Historical Financials'!V166</f>
        <v>0</v>
      </c>
      <c r="N39" s="141">
        <f>-'Historical Financials'!W166</f>
        <v>0</v>
      </c>
      <c r="O39" s="141">
        <f>-'Historical Financials'!X166</f>
        <v>-656</v>
      </c>
      <c r="P39" s="141">
        <f>-'Historical Financials'!Y166</f>
        <v>0</v>
      </c>
      <c r="Q39" s="141">
        <f>-'Historical Financials'!Z166</f>
        <v>0</v>
      </c>
      <c r="R39" s="141">
        <f>-'Historical Financials'!AA166</f>
        <v>0</v>
      </c>
      <c r="T39" s="10">
        <f t="shared" si="91"/>
        <v>-512</v>
      </c>
      <c r="U39" s="10">
        <f t="shared" si="91"/>
        <v>-512</v>
      </c>
      <c r="V39" s="10">
        <f t="shared" si="91"/>
        <v>-512</v>
      </c>
      <c r="W39" s="142">
        <f t="shared" si="91"/>
        <v>-512</v>
      </c>
      <c r="X39" s="142">
        <f t="shared" si="91"/>
        <v>-656</v>
      </c>
      <c r="Y39" s="142">
        <f t="shared" si="91"/>
        <v>-656</v>
      </c>
      <c r="Z39" s="142">
        <f t="shared" si="91"/>
        <v>-656</v>
      </c>
      <c r="AA39" s="142">
        <f t="shared" si="91"/>
        <v>-656</v>
      </c>
      <c r="AC39" s="126">
        <f>SUM(AA39/W39)-1</f>
        <v>0.28125</v>
      </c>
    </row>
    <row r="40" spans="2:29" ht="12.75" customHeight="1">
      <c r="B40" s="23" t="s">
        <v>70</v>
      </c>
      <c r="C40" s="141" t="e">
        <f>-'Historical Financials'!#REF!</f>
        <v>#REF!</v>
      </c>
      <c r="D40" s="141">
        <f>-'Historical Financials'!E165</f>
        <v>-450</v>
      </c>
      <c r="E40" s="141">
        <f>-'Historical Financials'!F165</f>
        <v>-259</v>
      </c>
      <c r="F40" s="141">
        <f>-'Historical Financials'!G165</f>
        <v>-250</v>
      </c>
      <c r="H40" s="148">
        <f>$E$40/4</f>
        <v>-64.75</v>
      </c>
      <c r="I40" s="148">
        <f t="shared" ref="I40:K40" si="92">$E$40/4</f>
        <v>-64.75</v>
      </c>
      <c r="J40" s="148">
        <f t="shared" si="92"/>
        <v>-64.75</v>
      </c>
      <c r="K40" s="148">
        <f t="shared" si="92"/>
        <v>-64.75</v>
      </c>
      <c r="L40" s="148">
        <f>$F$40/4</f>
        <v>-62.5</v>
      </c>
      <c r="M40" s="148">
        <f t="shared" ref="M40:O40" si="93">$F$40/4</f>
        <v>-62.5</v>
      </c>
      <c r="N40" s="148">
        <f t="shared" si="93"/>
        <v>-62.5</v>
      </c>
      <c r="O40" s="148">
        <f t="shared" si="93"/>
        <v>-62.5</v>
      </c>
      <c r="P40" s="148">
        <f>O40</f>
        <v>-62.5</v>
      </c>
      <c r="Q40" s="148">
        <f t="shared" ref="Q40:R40" si="94">P40</f>
        <v>-62.5</v>
      </c>
      <c r="R40" s="148">
        <f t="shared" si="94"/>
        <v>-62.5</v>
      </c>
      <c r="T40" s="10">
        <f t="shared" si="91"/>
        <v>-259</v>
      </c>
      <c r="U40" s="10">
        <f t="shared" si="91"/>
        <v>-256.75</v>
      </c>
      <c r="V40" s="10">
        <f t="shared" si="91"/>
        <v>-254.5</v>
      </c>
      <c r="W40" s="142">
        <f t="shared" si="91"/>
        <v>-252.25</v>
      </c>
      <c r="X40" s="142">
        <f t="shared" si="91"/>
        <v>-250</v>
      </c>
      <c r="Y40" s="142">
        <f t="shared" si="91"/>
        <v>-250</v>
      </c>
      <c r="Z40" s="142">
        <f t="shared" si="91"/>
        <v>-250</v>
      </c>
      <c r="AA40" s="142">
        <f t="shared" si="91"/>
        <v>-250</v>
      </c>
      <c r="AC40" s="126">
        <f>SUM(AA40/W40)-1</f>
        <v>-8.9197224975222644E-3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 t="e">
        <f>'Historical Financials'!#REF!</f>
        <v>#REF!</v>
      </c>
      <c r="D44" s="141">
        <f>'Historical Financials'!E124</f>
        <v>12</v>
      </c>
      <c r="E44" s="141">
        <f>'Historical Financials'!F124</f>
        <v>4</v>
      </c>
      <c r="F44" s="141">
        <f>'Historical Financials'!G124</f>
        <v>3</v>
      </c>
      <c r="G44" s="32"/>
      <c r="H44" s="141">
        <f>'Historical Financials'!Q124</f>
        <v>0</v>
      </c>
      <c r="I44" s="141">
        <f>'Historical Financials'!R124</f>
        <v>0</v>
      </c>
      <c r="J44" s="141">
        <f>'Historical Financials'!S124</f>
        <v>0</v>
      </c>
      <c r="K44" s="141">
        <f>'Historical Financials'!T124</f>
        <v>4</v>
      </c>
      <c r="L44" s="141">
        <f>'Historical Financials'!U124</f>
        <v>0</v>
      </c>
      <c r="M44" s="141">
        <f>'Historical Financials'!V124</f>
        <v>0</v>
      </c>
      <c r="N44" s="141">
        <f>'Historical Financials'!W124</f>
        <v>0</v>
      </c>
      <c r="O44" s="141">
        <f>'Historical Financials'!X124</f>
        <v>3</v>
      </c>
      <c r="P44" s="141">
        <f>'Historical Financials'!Y124</f>
        <v>0</v>
      </c>
      <c r="Q44" s="141">
        <f>'Historical Financials'!Z124</f>
        <v>0</v>
      </c>
      <c r="R44" s="141">
        <f>'Historical Financials'!AA124</f>
        <v>0</v>
      </c>
      <c r="T44" s="142">
        <f t="shared" ref="T44:Z50" si="97">SUM(H44:K44)</f>
        <v>4</v>
      </c>
      <c r="U44" s="142">
        <f t="shared" si="97"/>
        <v>4</v>
      </c>
      <c r="V44" s="142">
        <f t="shared" si="97"/>
        <v>4</v>
      </c>
      <c r="W44" s="142">
        <f t="shared" si="97"/>
        <v>4</v>
      </c>
      <c r="X44" s="142">
        <f t="shared" si="97"/>
        <v>3</v>
      </c>
      <c r="Y44" s="142">
        <f t="shared" si="97"/>
        <v>3</v>
      </c>
      <c r="Z44" s="142">
        <f t="shared" si="97"/>
        <v>3</v>
      </c>
      <c r="AA44" s="142">
        <f t="shared" ref="AA44:AA50" si="98">SUM(O44:R44)</f>
        <v>3</v>
      </c>
    </row>
    <row r="45" spans="2:29" ht="12.75" customHeight="1">
      <c r="B45" s="31" t="s">
        <v>86</v>
      </c>
      <c r="C45" s="141" t="e">
        <f>'Historical Financials'!#REF!</f>
        <v>#REF!</v>
      </c>
      <c r="D45" s="141">
        <f>'Historical Financials'!E130</f>
        <v>0</v>
      </c>
      <c r="E45" s="141">
        <f>'Historical Financials'!F130</f>
        <v>0</v>
      </c>
      <c r="F45" s="141">
        <f>'Historical Financials'!G130</f>
        <v>0</v>
      </c>
      <c r="G45" s="32"/>
      <c r="H45" s="141">
        <f>'Historical Financials'!Q130</f>
        <v>0</v>
      </c>
      <c r="I45" s="141">
        <f>'Historical Financials'!R130</f>
        <v>0</v>
      </c>
      <c r="J45" s="141">
        <f>'Historical Financials'!S130</f>
        <v>0</v>
      </c>
      <c r="K45" s="141">
        <f>'Historical Financials'!T130</f>
        <v>0</v>
      </c>
      <c r="L45" s="141">
        <f>'Historical Financials'!U130</f>
        <v>0</v>
      </c>
      <c r="M45" s="141">
        <f>'Historical Financials'!V130</f>
        <v>0</v>
      </c>
      <c r="N45" s="141">
        <f>'Historical Financials'!W130</f>
        <v>0</v>
      </c>
      <c r="O45" s="141">
        <f>'Historical Financials'!X130</f>
        <v>0</v>
      </c>
      <c r="P45" s="141">
        <f>'Historical Financials'!Y130</f>
        <v>0</v>
      </c>
      <c r="Q45" s="141">
        <f>'Historical Financials'!Z130</f>
        <v>0</v>
      </c>
      <c r="R45" s="141">
        <f>'Historical Financials'!AA130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124</v>
      </c>
      <c r="C46" s="141" t="e">
        <f>'Historical Financials'!#REF!</f>
        <v>#REF!</v>
      </c>
      <c r="D46" s="141">
        <f>'Historical Financials'!E127</f>
        <v>5</v>
      </c>
      <c r="E46" s="141">
        <f>'Historical Financials'!F127</f>
        <v>0</v>
      </c>
      <c r="F46" s="141">
        <f>'Historical Financials'!G127</f>
        <v>0</v>
      </c>
      <c r="G46" s="32"/>
      <c r="H46" s="141">
        <f>'Historical Financials'!Q127</f>
        <v>0</v>
      </c>
      <c r="I46" s="141">
        <f>'Historical Financials'!R127</f>
        <v>0</v>
      </c>
      <c r="J46" s="141">
        <f>'Historical Financials'!S127</f>
        <v>0</v>
      </c>
      <c r="K46" s="141">
        <f>'Historical Financials'!T127</f>
        <v>0</v>
      </c>
      <c r="L46" s="141">
        <f>'Historical Financials'!U127</f>
        <v>0</v>
      </c>
      <c r="M46" s="141">
        <f>'Historical Financials'!V127</f>
        <v>0</v>
      </c>
      <c r="N46" s="141">
        <f>'Historical Financials'!W127</f>
        <v>0</v>
      </c>
      <c r="O46" s="141">
        <f>'Historical Financials'!X127</f>
        <v>0</v>
      </c>
      <c r="P46" s="141">
        <f>'Historical Financials'!Y127</f>
        <v>0</v>
      </c>
      <c r="Q46" s="141">
        <f>'Historical Financials'!Z127</f>
        <v>0</v>
      </c>
      <c r="R46" s="141">
        <f>'Historical Financials'!AA127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 t="e">
        <f>'Historical Financials'!#REF!</f>
        <v>#REF!</v>
      </c>
      <c r="D47" s="141">
        <f>'Historical Financials'!E134</f>
        <v>-335</v>
      </c>
      <c r="E47" s="141">
        <f>'Historical Financials'!F134</f>
        <v>-39</v>
      </c>
      <c r="F47" s="141">
        <f>'Historical Financials'!G134</f>
        <v>-131</v>
      </c>
      <c r="G47" s="32"/>
      <c r="H47" s="141">
        <f>'Historical Financials'!Q134</f>
        <v>0</v>
      </c>
      <c r="I47" s="141">
        <f>'Historical Financials'!R134</f>
        <v>0</v>
      </c>
      <c r="J47" s="141">
        <f>'Historical Financials'!S134</f>
        <v>0</v>
      </c>
      <c r="K47" s="141">
        <f>'Historical Financials'!T134</f>
        <v>-39</v>
      </c>
      <c r="L47" s="141">
        <f>'Historical Financials'!U134</f>
        <v>0</v>
      </c>
      <c r="M47" s="141">
        <f>'Historical Financials'!V134</f>
        <v>0</v>
      </c>
      <c r="N47" s="141">
        <f>'Historical Financials'!W134</f>
        <v>0</v>
      </c>
      <c r="O47" s="141">
        <f>'Historical Financials'!X134</f>
        <v>-131</v>
      </c>
      <c r="P47" s="141">
        <f>'Historical Financials'!Y134</f>
        <v>0</v>
      </c>
      <c r="Q47" s="141">
        <f>'Historical Financials'!Z134</f>
        <v>0</v>
      </c>
      <c r="R47" s="141">
        <f>'Historical Financials'!AA134</f>
        <v>0</v>
      </c>
      <c r="T47" s="142">
        <f t="shared" si="97"/>
        <v>-39</v>
      </c>
      <c r="U47" s="142">
        <f t="shared" si="97"/>
        <v>-39</v>
      </c>
      <c r="V47" s="142">
        <f t="shared" si="97"/>
        <v>-39</v>
      </c>
      <c r="W47" s="142">
        <f t="shared" si="97"/>
        <v>-39</v>
      </c>
      <c r="X47" s="142">
        <f t="shared" si="97"/>
        <v>-131</v>
      </c>
      <c r="Y47" s="142">
        <f t="shared" si="97"/>
        <v>-131</v>
      </c>
      <c r="Z47" s="142">
        <f t="shared" si="97"/>
        <v>-131</v>
      </c>
      <c r="AA47" s="142">
        <f t="shared" si="98"/>
        <v>-131</v>
      </c>
    </row>
    <row r="48" spans="2:29" ht="12.75" customHeight="1">
      <c r="B48" s="31" t="s">
        <v>125</v>
      </c>
      <c r="C48" s="141" t="e">
        <f>'Historical Financials'!#REF!</f>
        <v>#REF!</v>
      </c>
      <c r="D48" s="141">
        <f>'Historical Financials'!E135</f>
        <v>-75</v>
      </c>
      <c r="E48" s="141">
        <f>'Historical Financials'!F135</f>
        <v>-50</v>
      </c>
      <c r="F48" s="141">
        <f>'Historical Financials'!G135</f>
        <v>-26</v>
      </c>
      <c r="G48" s="32"/>
      <c r="H48" s="141">
        <f>'Historical Financials'!Q135</f>
        <v>0</v>
      </c>
      <c r="I48" s="141">
        <f>'Historical Financials'!R135</f>
        <v>0</v>
      </c>
      <c r="J48" s="141">
        <f>'Historical Financials'!S135</f>
        <v>0</v>
      </c>
      <c r="K48" s="141">
        <f>'Historical Financials'!T135</f>
        <v>-50</v>
      </c>
      <c r="L48" s="141">
        <f>'Historical Financials'!U135</f>
        <v>0</v>
      </c>
      <c r="M48" s="141">
        <f>'Historical Financials'!V135</f>
        <v>0</v>
      </c>
      <c r="N48" s="141">
        <f>'Historical Financials'!W135</f>
        <v>0</v>
      </c>
      <c r="O48" s="141">
        <f>'Historical Financials'!X135</f>
        <v>-26</v>
      </c>
      <c r="P48" s="141">
        <f>'Historical Financials'!Y135</f>
        <v>0</v>
      </c>
      <c r="Q48" s="141">
        <f>'Historical Financials'!Z135</f>
        <v>0</v>
      </c>
      <c r="R48" s="141">
        <f>'Historical Financials'!AA135</f>
        <v>0</v>
      </c>
      <c r="T48" s="142">
        <f t="shared" si="97"/>
        <v>-50</v>
      </c>
      <c r="U48" s="142">
        <f t="shared" si="97"/>
        <v>-50</v>
      </c>
      <c r="V48" s="142">
        <f t="shared" si="97"/>
        <v>-50</v>
      </c>
      <c r="W48" s="142">
        <f t="shared" si="97"/>
        <v>-50</v>
      </c>
      <c r="X48" s="142">
        <f t="shared" si="97"/>
        <v>-26</v>
      </c>
      <c r="Y48" s="142">
        <f t="shared" si="97"/>
        <v>-26</v>
      </c>
      <c r="Z48" s="142">
        <f t="shared" si="97"/>
        <v>-26</v>
      </c>
      <c r="AA48" s="142">
        <f t="shared" si="98"/>
        <v>-26</v>
      </c>
    </row>
    <row r="49" spans="1:27" ht="12.75" customHeight="1">
      <c r="B49" s="31" t="s">
        <v>97</v>
      </c>
      <c r="C49" s="141" t="e">
        <f>SUM('Historical Financials'!#REF!)</f>
        <v>#REF!</v>
      </c>
      <c r="D49" s="141">
        <f>SUM('Historical Financials'!E150:E150)</f>
        <v>0</v>
      </c>
      <c r="E49" s="141">
        <f>SUM('Historical Financials'!F150:F150)</f>
        <v>0</v>
      </c>
      <c r="F49" s="141">
        <f>SUM('Historical Financials'!G150:G150)</f>
        <v>0</v>
      </c>
      <c r="G49" s="32"/>
      <c r="H49" s="141">
        <f>SUM('Historical Financials'!Q150:Q150)</f>
        <v>0</v>
      </c>
      <c r="I49" s="141">
        <f>SUM('Historical Financials'!R150:R150)</f>
        <v>0</v>
      </c>
      <c r="J49" s="141">
        <f>SUM('Historical Financials'!S150:S150)</f>
        <v>0</v>
      </c>
      <c r="K49" s="141">
        <f>SUM('Historical Financials'!T150:T150)</f>
        <v>0</v>
      </c>
      <c r="L49" s="141">
        <f>SUM('Historical Financials'!U150:U150)</f>
        <v>0</v>
      </c>
      <c r="M49" s="141">
        <f>SUM('Historical Financials'!V150:V150)</f>
        <v>0</v>
      </c>
      <c r="N49" s="141">
        <f>SUM('Historical Financials'!W150:W150)</f>
        <v>0</v>
      </c>
      <c r="O49" s="141">
        <f>SUM('Historical Financials'!X150:X150)</f>
        <v>0</v>
      </c>
      <c r="P49" s="141">
        <f>SUM('Historical Financials'!Y150:Y150)</f>
        <v>0</v>
      </c>
      <c r="Q49" s="141">
        <f>SUM('Historical Financials'!Z150:Z150)</f>
        <v>0</v>
      </c>
      <c r="R49" s="141">
        <f>SUM('Historical Financials'!AA150:AA150)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 t="e">
        <f>'Historical Financials'!#REF!</f>
        <v>#REF!</v>
      </c>
      <c r="D55" s="94">
        <f>'Historical Financials'!E53</f>
        <v>928</v>
      </c>
      <c r="E55" s="94">
        <f>'Historical Financials'!F53</f>
        <v>866</v>
      </c>
      <c r="F55" s="94">
        <f>'Historical Financials'!G53</f>
        <v>414</v>
      </c>
      <c r="G55" s="32"/>
      <c r="H55" s="94">
        <f>'Historical Financials'!Q53</f>
        <v>570</v>
      </c>
      <c r="I55" s="94">
        <f>'Historical Financials'!R53</f>
        <v>426</v>
      </c>
      <c r="J55" s="94">
        <f>'Historical Financials'!S53</f>
        <v>952</v>
      </c>
      <c r="K55" s="94">
        <f>'Historical Financials'!T53</f>
        <v>866</v>
      </c>
      <c r="L55" s="94">
        <f>'Historical Financials'!U53</f>
        <v>2329</v>
      </c>
      <c r="M55" s="94">
        <f>'Historical Financials'!V53</f>
        <v>2913</v>
      </c>
      <c r="N55" s="94">
        <f>'Historical Financials'!W53</f>
        <v>2502</v>
      </c>
      <c r="O55" s="94">
        <f>'Historical Financials'!X53</f>
        <v>414</v>
      </c>
      <c r="P55" s="94">
        <f>'Historical Financials'!Y53</f>
        <v>725</v>
      </c>
      <c r="Q55" s="94">
        <f>'Historical Financials'!Z53</f>
        <v>534</v>
      </c>
      <c r="R55" s="94">
        <f>'Historical Financials'!AA53</f>
        <v>1275</v>
      </c>
      <c r="T55" s="10">
        <f t="shared" ref="T55:Z57" si="102">K55</f>
        <v>866</v>
      </c>
      <c r="U55" s="10">
        <f t="shared" si="102"/>
        <v>2329</v>
      </c>
      <c r="V55" s="10">
        <f t="shared" si="102"/>
        <v>2913</v>
      </c>
      <c r="W55" s="10">
        <f t="shared" si="102"/>
        <v>2502</v>
      </c>
      <c r="X55" s="10">
        <f t="shared" si="102"/>
        <v>414</v>
      </c>
      <c r="Y55" s="10">
        <f t="shared" si="102"/>
        <v>725</v>
      </c>
      <c r="Z55" s="10">
        <f t="shared" si="102"/>
        <v>534</v>
      </c>
      <c r="AA55" s="10">
        <f>R55</f>
        <v>1275</v>
      </c>
    </row>
    <row r="56" spans="1:27" ht="12.75" customHeight="1">
      <c r="B56" s="8" t="s">
        <v>126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133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866</v>
      </c>
      <c r="U58" s="14">
        <f t="shared" si="105"/>
        <v>2329</v>
      </c>
      <c r="V58" s="14">
        <f t="shared" si="105"/>
        <v>2913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130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131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135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105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 t="e">
        <f>'Historical Financials'!#REF!</f>
        <v>#REF!</v>
      </c>
      <c r="D65" s="94">
        <f>'Historical Financials'!E62</f>
        <v>2446</v>
      </c>
      <c r="E65" s="94">
        <f>'Historical Financials'!F62</f>
        <v>2859</v>
      </c>
      <c r="F65" s="94">
        <f>'Historical Financials'!G62</f>
        <v>3294</v>
      </c>
      <c r="H65" s="94">
        <f>'Historical Financials'!Q62</f>
        <v>2478</v>
      </c>
      <c r="I65" s="94">
        <f>'Historical Financials'!R62</f>
        <v>2534</v>
      </c>
      <c r="J65" s="94">
        <f>'Historical Financials'!S62</f>
        <v>2635</v>
      </c>
      <c r="K65" s="94">
        <f>'Historical Financials'!T62</f>
        <v>2859</v>
      </c>
      <c r="L65" s="94">
        <f>'Historical Financials'!U62</f>
        <v>2897</v>
      </c>
      <c r="M65" s="94">
        <f>'Historical Financials'!V62</f>
        <v>2951</v>
      </c>
      <c r="N65" s="94">
        <f>'Historical Financials'!W62</f>
        <v>3072</v>
      </c>
      <c r="O65" s="94">
        <f>'Historical Financials'!X62</f>
        <v>3294</v>
      </c>
      <c r="P65" s="94">
        <f>'Historical Financials'!Y62</f>
        <v>3389</v>
      </c>
      <c r="Q65" s="94">
        <f>'Historical Financials'!Z62</f>
        <v>3461</v>
      </c>
      <c r="R65" s="94">
        <f>'Historical Financials'!AA62</f>
        <v>3795</v>
      </c>
      <c r="S65" s="10"/>
      <c r="T65" s="10">
        <f t="shared" si="106"/>
        <v>2859</v>
      </c>
      <c r="U65" s="10">
        <f t="shared" si="106"/>
        <v>2897</v>
      </c>
      <c r="V65" s="10">
        <f t="shared" si="106"/>
        <v>2951</v>
      </c>
      <c r="W65" s="10">
        <f t="shared" si="106"/>
        <v>3072</v>
      </c>
      <c r="X65" s="10">
        <f t="shared" si="106"/>
        <v>3294</v>
      </c>
      <c r="Y65" s="10">
        <f t="shared" si="106"/>
        <v>3389</v>
      </c>
      <c r="Z65" s="10">
        <f t="shared" si="106"/>
        <v>3461</v>
      </c>
      <c r="AA65" s="10">
        <f t="shared" si="107"/>
        <v>3795</v>
      </c>
    </row>
    <row r="66" spans="2:27" ht="12.75" customHeight="1">
      <c r="B66" s="8" t="s">
        <v>107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 t="e">
        <f>'Historical Financials'!#REF!</f>
        <v>#REF!</v>
      </c>
      <c r="D67" s="94">
        <f>'Historical Financials'!E70</f>
        <v>20</v>
      </c>
      <c r="E67" s="94">
        <f>'Historical Financials'!F70</f>
        <v>531</v>
      </c>
      <c r="F67" s="94">
        <f>'Historical Financials'!G70</f>
        <v>1779</v>
      </c>
      <c r="G67" s="94"/>
      <c r="H67" s="94">
        <f>'Historical Financials'!Q70</f>
        <v>510</v>
      </c>
      <c r="I67" s="94">
        <f>'Historical Financials'!R70</f>
        <v>559</v>
      </c>
      <c r="J67" s="94">
        <f>'Historical Financials'!S70</f>
        <v>513</v>
      </c>
      <c r="K67" s="94">
        <f>'Historical Financials'!T70</f>
        <v>531</v>
      </c>
      <c r="L67" s="94">
        <f>'Historical Financials'!U70</f>
        <v>1085</v>
      </c>
      <c r="M67" s="94">
        <f>'Historical Financials'!V70</f>
        <v>1580</v>
      </c>
      <c r="N67" s="94">
        <f>'Historical Financials'!W70</f>
        <v>1652</v>
      </c>
      <c r="O67" s="94">
        <f>'Historical Financials'!X70</f>
        <v>1779</v>
      </c>
      <c r="P67" s="94">
        <f>'Historical Financials'!Y70</f>
        <v>777</v>
      </c>
      <c r="Q67" s="94">
        <f>'Historical Financials'!Z70</f>
        <v>480</v>
      </c>
      <c r="R67" s="94">
        <f>'Historical Financials'!AA70</f>
        <v>483</v>
      </c>
      <c r="T67" s="10">
        <f t="shared" si="106"/>
        <v>531</v>
      </c>
      <c r="U67" s="10">
        <f t="shared" si="106"/>
        <v>1085</v>
      </c>
      <c r="V67" s="10">
        <f t="shared" si="106"/>
        <v>1580</v>
      </c>
      <c r="W67" s="10">
        <f t="shared" si="106"/>
        <v>1652</v>
      </c>
      <c r="X67" s="10">
        <f t="shared" si="106"/>
        <v>1779</v>
      </c>
      <c r="Y67" s="10">
        <f t="shared" si="106"/>
        <v>777</v>
      </c>
      <c r="Z67" s="10">
        <f t="shared" si="106"/>
        <v>480</v>
      </c>
      <c r="AA67" s="10">
        <f t="shared" si="107"/>
        <v>483</v>
      </c>
    </row>
    <row r="68" spans="2:27" ht="12.75" customHeight="1">
      <c r="B68" s="8" t="s">
        <v>45</v>
      </c>
      <c r="C68" s="94" t="e">
        <f>'Historical Financials'!#REF!</f>
        <v>#REF!</v>
      </c>
      <c r="D68" s="94">
        <f>'Historical Financials'!E74</f>
        <v>3803</v>
      </c>
      <c r="E68" s="94">
        <f>'Historical Financials'!F74</f>
        <v>4934</v>
      </c>
      <c r="F68" s="94">
        <f>'Historical Financials'!G74</f>
        <v>6399</v>
      </c>
      <c r="G68" s="94"/>
      <c r="H68" s="94">
        <f>'Historical Financials'!Q74</f>
        <v>4083</v>
      </c>
      <c r="I68" s="94">
        <f>'Historical Financials'!R74</f>
        <v>4562</v>
      </c>
      <c r="J68" s="94">
        <f>'Historical Financials'!S74</f>
        <v>4579</v>
      </c>
      <c r="K68" s="94">
        <f>'Historical Financials'!T74</f>
        <v>4934</v>
      </c>
      <c r="L68" s="94">
        <f>'Historical Financials'!U74</f>
        <v>4916</v>
      </c>
      <c r="M68" s="94">
        <f>'Historical Financials'!V74</f>
        <v>5576</v>
      </c>
      <c r="N68" s="94">
        <f>'Historical Financials'!W74</f>
        <v>5911</v>
      </c>
      <c r="O68" s="94">
        <f>'Historical Financials'!X74</f>
        <v>6399</v>
      </c>
      <c r="P68" s="94">
        <f>'Historical Financials'!Y74</f>
        <v>5058</v>
      </c>
      <c r="Q68" s="94">
        <f>'Historical Financials'!Z74</f>
        <v>5191</v>
      </c>
      <c r="R68" s="94">
        <f>'Historical Financials'!AA74</f>
        <v>5328</v>
      </c>
      <c r="T68" s="10">
        <f t="shared" si="106"/>
        <v>4934</v>
      </c>
      <c r="U68" s="10">
        <f t="shared" si="106"/>
        <v>4916</v>
      </c>
      <c r="V68" s="10">
        <f t="shared" si="106"/>
        <v>5576</v>
      </c>
      <c r="W68" s="10">
        <f t="shared" si="106"/>
        <v>5911</v>
      </c>
      <c r="X68" s="10">
        <f t="shared" si="106"/>
        <v>6399</v>
      </c>
      <c r="Y68" s="10">
        <f t="shared" si="106"/>
        <v>5058</v>
      </c>
      <c r="Z68" s="10">
        <f t="shared" si="106"/>
        <v>5191</v>
      </c>
      <c r="AA68" s="10">
        <f t="shared" si="107"/>
        <v>5328</v>
      </c>
    </row>
    <row r="69" spans="2:27" ht="12.75" customHeight="1">
      <c r="B69" s="8" t="s">
        <v>15</v>
      </c>
      <c r="C69" s="94" t="e">
        <f>'Historical Financials'!#REF!</f>
        <v>#REF!</v>
      </c>
      <c r="D69" s="94">
        <f>'Historical Financials'!E80</f>
        <v>14897</v>
      </c>
      <c r="E69" s="94">
        <f>'Historical Financials'!F80</f>
        <v>15606</v>
      </c>
      <c r="F69" s="94">
        <f>'Historical Financials'!G80</f>
        <v>17392</v>
      </c>
      <c r="G69" s="94"/>
      <c r="H69" s="94">
        <f>'Historical Financials'!Q80</f>
        <v>14783</v>
      </c>
      <c r="I69" s="94">
        <f>'Historical Financials'!R80</f>
        <v>15117</v>
      </c>
      <c r="J69" s="94">
        <f>'Historical Financials'!S80</f>
        <v>14914</v>
      </c>
      <c r="K69" s="94">
        <f>'Historical Financials'!T80</f>
        <v>15606</v>
      </c>
      <c r="L69" s="94">
        <f>'Historical Financials'!U80</f>
        <v>16501</v>
      </c>
      <c r="M69" s="94">
        <f>'Historical Financials'!V80</f>
        <v>16499</v>
      </c>
      <c r="N69" s="94">
        <f>'Historical Financials'!W80</f>
        <v>17123</v>
      </c>
      <c r="O69" s="94">
        <f>'Historical Financials'!X80</f>
        <v>17392</v>
      </c>
      <c r="P69" s="94">
        <f>'Historical Financials'!Y80</f>
        <v>17694</v>
      </c>
      <c r="Q69" s="94">
        <f>'Historical Financials'!Z80</f>
        <v>18907</v>
      </c>
      <c r="R69" s="94">
        <f>'Historical Financials'!AA80</f>
        <v>19077</v>
      </c>
      <c r="T69" s="10">
        <f t="shared" si="106"/>
        <v>15606</v>
      </c>
      <c r="U69" s="10">
        <f t="shared" si="106"/>
        <v>16501</v>
      </c>
      <c r="V69" s="10">
        <f t="shared" si="106"/>
        <v>16499</v>
      </c>
      <c r="W69" s="10">
        <f t="shared" si="106"/>
        <v>17123</v>
      </c>
      <c r="X69" s="10">
        <f t="shared" si="106"/>
        <v>17392</v>
      </c>
      <c r="Y69" s="10">
        <f t="shared" si="106"/>
        <v>17694</v>
      </c>
      <c r="Z69" s="10">
        <f t="shared" si="106"/>
        <v>18907</v>
      </c>
      <c r="AA69" s="10">
        <f t="shared" si="107"/>
        <v>19077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134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132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127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113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112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111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110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109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128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129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 t="e">
        <f>'Historical Financials'!#REF!</f>
        <v>#REF!</v>
      </c>
      <c r="D87" s="94">
        <f>'Historical Financials'!E88</f>
        <v>17574</v>
      </c>
      <c r="E87" s="94">
        <f>'Historical Financials'!F88</f>
        <v>19281</v>
      </c>
      <c r="F87" s="94">
        <f>'Historical Financials'!G88</f>
        <v>21770</v>
      </c>
      <c r="H87" s="94">
        <f>'Historical Financials'!Q88</f>
        <v>17850</v>
      </c>
      <c r="I87" s="94">
        <f>'Historical Financials'!R88</f>
        <v>18226</v>
      </c>
      <c r="J87" s="94">
        <f>'Historical Financials'!S88</f>
        <v>18885</v>
      </c>
      <c r="K87" s="94">
        <f>'Historical Financials'!T88</f>
        <v>19281</v>
      </c>
      <c r="L87" s="94">
        <f>'Historical Financials'!U88</f>
        <v>19925</v>
      </c>
      <c r="M87" s="94">
        <f>'Historical Financials'!V88</f>
        <v>20372</v>
      </c>
      <c r="N87" s="94">
        <f>'Historical Financials'!W88</f>
        <v>20708</v>
      </c>
      <c r="O87" s="94">
        <f>'Historical Financials'!X88</f>
        <v>21770</v>
      </c>
      <c r="P87" s="94">
        <f>'Historical Financials'!Y88</f>
        <v>22212</v>
      </c>
      <c r="Q87" s="94">
        <f>'Historical Financials'!Z88</f>
        <v>22418</v>
      </c>
      <c r="R87" s="94">
        <f>'Historical Financials'!AA88</f>
        <v>23395</v>
      </c>
      <c r="T87" s="10">
        <f t="shared" ref="T87:AA87" si="130">K87</f>
        <v>19281</v>
      </c>
      <c r="U87" s="10">
        <f t="shared" si="130"/>
        <v>19925</v>
      </c>
      <c r="V87" s="10">
        <f t="shared" si="130"/>
        <v>20372</v>
      </c>
      <c r="W87" s="142">
        <f t="shared" si="130"/>
        <v>20708</v>
      </c>
      <c r="X87" s="142">
        <f t="shared" si="130"/>
        <v>21770</v>
      </c>
      <c r="Y87" s="142">
        <f t="shared" si="130"/>
        <v>22212</v>
      </c>
      <c r="Z87" s="142">
        <f t="shared" si="130"/>
        <v>22418</v>
      </c>
      <c r="AA87" s="142">
        <f t="shared" si="130"/>
        <v>23395</v>
      </c>
    </row>
    <row r="88" spans="1:27" ht="12.75" customHeight="1">
      <c r="B88" s="13" t="s">
        <v>47</v>
      </c>
      <c r="C88" s="14" t="e">
        <f>SUM(C85:C87)</f>
        <v>#REF!</v>
      </c>
      <c r="D88" s="14">
        <f>SUM(D85:D87)</f>
        <v>20075</v>
      </c>
      <c r="E88" s="14">
        <f>SUM(E85:E87)</f>
        <v>21781</v>
      </c>
      <c r="F88" s="14">
        <f>SUM(F85:F87)</f>
        <v>23520</v>
      </c>
      <c r="H88" s="14">
        <f t="shared" ref="H88:M88" si="131">SUM(H85:H87)</f>
        <v>20350</v>
      </c>
      <c r="I88" s="14">
        <f t="shared" si="131"/>
        <v>20726</v>
      </c>
      <c r="J88" s="14">
        <f t="shared" si="131"/>
        <v>21385</v>
      </c>
      <c r="K88" s="14">
        <f t="shared" si="131"/>
        <v>21781</v>
      </c>
      <c r="L88" s="14">
        <f t="shared" si="131"/>
        <v>22425</v>
      </c>
      <c r="M88" s="14">
        <f t="shared" si="131"/>
        <v>22122</v>
      </c>
      <c r="N88" s="14">
        <f>SUM(N85:N87)</f>
        <v>22458</v>
      </c>
      <c r="O88" s="14">
        <f>SUM(O85:O87)</f>
        <v>23520</v>
      </c>
      <c r="P88" s="14">
        <f>SUM(P85:P87)</f>
        <v>26412</v>
      </c>
      <c r="Q88" s="14">
        <f>SUM(Q85:Q87)</f>
        <v>25668</v>
      </c>
      <c r="R88" s="14">
        <f>SUM(R85:R87)</f>
        <v>26645</v>
      </c>
      <c r="T88" s="14">
        <f t="shared" ref="T88:Y88" si="132">SUM(T85:T87)</f>
        <v>21781</v>
      </c>
      <c r="U88" s="14">
        <f t="shared" si="132"/>
        <v>22425</v>
      </c>
      <c r="V88" s="14">
        <f t="shared" si="132"/>
        <v>22122</v>
      </c>
      <c r="W88" s="14">
        <f t="shared" si="132"/>
        <v>22458</v>
      </c>
      <c r="X88" s="14">
        <f t="shared" si="132"/>
        <v>23520</v>
      </c>
      <c r="Y88" s="14">
        <f t="shared" si="132"/>
        <v>26412</v>
      </c>
      <c r="Z88" s="14">
        <f>SUM(Z85:Z87)</f>
        <v>25668</v>
      </c>
      <c r="AA88" s="14">
        <f>SUM(AA85:AA87)</f>
        <v>26645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 t="e">
        <f>C88/C85</f>
        <v>#REF!</v>
      </c>
      <c r="D97" s="83">
        <f>D88/D85</f>
        <v>8.026789284286286</v>
      </c>
      <c r="E97" s="83">
        <f>E88/E85</f>
        <v>8.7124000000000006</v>
      </c>
      <c r="F97" s="83">
        <f>F88/F85</f>
        <v>13.44</v>
      </c>
      <c r="H97" s="83">
        <f t="shared" ref="H97:Q97" si="138">H88/H85</f>
        <v>8.14</v>
      </c>
      <c r="I97" s="83">
        <f t="shared" si="138"/>
        <v>8.2904</v>
      </c>
      <c r="J97" s="83">
        <f t="shared" si="138"/>
        <v>8.5540000000000003</v>
      </c>
      <c r="K97" s="83">
        <f t="shared" si="138"/>
        <v>8.7124000000000006</v>
      </c>
      <c r="L97" s="83">
        <f t="shared" si="138"/>
        <v>8.9700000000000006</v>
      </c>
      <c r="M97" s="83">
        <f t="shared" si="138"/>
        <v>12.641142857142857</v>
      </c>
      <c r="N97" s="83">
        <f t="shared" si="138"/>
        <v>12.833142857142857</v>
      </c>
      <c r="O97" s="83">
        <f t="shared" si="138"/>
        <v>13.44</v>
      </c>
      <c r="P97" s="83">
        <f t="shared" si="138"/>
        <v>6.2885714285714283</v>
      </c>
      <c r="Q97" s="83">
        <f t="shared" si="138"/>
        <v>7.897846153846154</v>
      </c>
      <c r="R97" s="83">
        <f>R88/R85</f>
        <v>8.1984615384615385</v>
      </c>
      <c r="S97" s="83"/>
      <c r="T97" s="83">
        <f t="shared" ref="T97:Y97" si="139">T88/T85</f>
        <v>8.7124000000000006</v>
      </c>
      <c r="U97" s="83">
        <f t="shared" si="139"/>
        <v>8.9700000000000006</v>
      </c>
      <c r="V97" s="83">
        <f t="shared" si="139"/>
        <v>12.641142857142857</v>
      </c>
      <c r="W97" s="83">
        <f t="shared" si="139"/>
        <v>12.833142857142857</v>
      </c>
      <c r="X97" s="83">
        <f t="shared" si="139"/>
        <v>13.44</v>
      </c>
      <c r="Y97" s="83">
        <f t="shared" si="139"/>
        <v>6.2885714285714283</v>
      </c>
      <c r="Z97" s="83">
        <f>Z88/Z85</f>
        <v>7.897846153846154</v>
      </c>
      <c r="AA97" s="83">
        <f>AA88/AA85</f>
        <v>8.1984615384615385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2025-12-31T05:48:55Z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