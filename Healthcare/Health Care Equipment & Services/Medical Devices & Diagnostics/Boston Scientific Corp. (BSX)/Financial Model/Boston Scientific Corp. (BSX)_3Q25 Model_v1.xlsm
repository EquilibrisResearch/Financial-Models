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16779176-C53D-4976-A5B1-8D244727DB7A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79" i="8" l="1"/>
  <c r="AL79" i="8" s="1"/>
  <c r="AI79" i="8"/>
  <c r="AH79" i="8"/>
  <c r="AG79" i="8"/>
  <c r="AF79" i="8"/>
  <c r="AE79" i="8"/>
  <c r="AD79" i="8"/>
  <c r="AC79" i="8"/>
  <c r="AJ78" i="8"/>
  <c r="AI78" i="8"/>
  <c r="AH78" i="8"/>
  <c r="AF78" i="8"/>
  <c r="AE78" i="8"/>
  <c r="AD78" i="8"/>
  <c r="AG78" i="8"/>
  <c r="AC78" i="8"/>
  <c r="AJ54" i="8"/>
  <c r="AI54" i="8"/>
  <c r="AH54" i="8"/>
  <c r="AF54" i="8"/>
  <c r="AE54" i="8"/>
  <c r="AD54" i="8"/>
  <c r="AG54" i="8"/>
  <c r="AC54" i="8"/>
  <c r="AJ37" i="8"/>
  <c r="AI37" i="8"/>
  <c r="AH37" i="8"/>
  <c r="AG37" i="8"/>
  <c r="AF37" i="8"/>
  <c r="AE37" i="8"/>
  <c r="AD37" i="8"/>
  <c r="AC37" i="8"/>
  <c r="AJ38" i="8"/>
  <c r="AI38" i="8"/>
  <c r="AH38" i="8"/>
  <c r="AG38" i="8"/>
  <c r="AF38" i="8"/>
  <c r="AE38" i="8"/>
  <c r="AD38" i="8"/>
  <c r="AC38" i="8"/>
  <c r="AJ25" i="8"/>
  <c r="AI25" i="8"/>
  <c r="AH25" i="8"/>
  <c r="AG25" i="8"/>
  <c r="AF25" i="8"/>
  <c r="AE25" i="8"/>
  <c r="AD25" i="8"/>
  <c r="AC25" i="8"/>
  <c r="AJ24" i="8"/>
  <c r="AI24" i="8"/>
  <c r="AH24" i="8"/>
  <c r="AG24" i="8"/>
  <c r="AF24" i="8"/>
  <c r="AE24" i="8"/>
  <c r="AD24" i="8"/>
  <c r="AC24" i="8"/>
  <c r="AJ23" i="8"/>
  <c r="AI23" i="8"/>
  <c r="AH23" i="8"/>
  <c r="AG23" i="8"/>
  <c r="AF23" i="8"/>
  <c r="AE23" i="8"/>
  <c r="AD23" i="8"/>
  <c r="AC23" i="8"/>
  <c r="AJ22" i="8"/>
  <c r="AI22" i="8"/>
  <c r="AH22" i="8"/>
  <c r="AG22" i="8"/>
  <c r="AF22" i="8"/>
  <c r="AE22" i="8"/>
  <c r="AD22" i="8"/>
  <c r="AC22" i="8"/>
  <c r="AJ21" i="8"/>
  <c r="AI21" i="8"/>
  <c r="AH21" i="8"/>
  <c r="AG21" i="8"/>
  <c r="AF21" i="8"/>
  <c r="AE21" i="8"/>
  <c r="AD21" i="8"/>
  <c r="AC21" i="8"/>
  <c r="AJ20" i="8"/>
  <c r="AI20" i="8"/>
  <c r="AH20" i="8"/>
  <c r="AG20" i="8"/>
  <c r="AF20" i="8"/>
  <c r="AE20" i="8"/>
  <c r="AD20" i="8"/>
  <c r="AC20" i="8"/>
  <c r="AJ19" i="8"/>
  <c r="AI19" i="8"/>
  <c r="AH19" i="8"/>
  <c r="AG19" i="8"/>
  <c r="AF19" i="8"/>
  <c r="AE19" i="8"/>
  <c r="AD19" i="8"/>
  <c r="AC19" i="8"/>
  <c r="AJ18" i="8"/>
  <c r="AI18" i="8"/>
  <c r="AH18" i="8"/>
  <c r="AG18" i="8"/>
  <c r="AF18" i="8"/>
  <c r="AE18" i="8"/>
  <c r="AD18" i="8"/>
  <c r="AC18" i="8"/>
  <c r="AJ17" i="8"/>
  <c r="AI17" i="8"/>
  <c r="AH17" i="8"/>
  <c r="AG17" i="8"/>
  <c r="AF17" i="8"/>
  <c r="AE17" i="8"/>
  <c r="AD17" i="8"/>
  <c r="AC17" i="8"/>
  <c r="AI13" i="8"/>
  <c r="AH13" i="8"/>
  <c r="AG13" i="8"/>
  <c r="AF13" i="8"/>
  <c r="AE13" i="8"/>
  <c r="AD13" i="8"/>
  <c r="AC13" i="8"/>
  <c r="AI10" i="8"/>
  <c r="AH10" i="8"/>
  <c r="AG10" i="8"/>
  <c r="AF10" i="8"/>
  <c r="AE10" i="8"/>
  <c r="AD10" i="8"/>
  <c r="AC10" i="8"/>
  <c r="AJ47" i="10"/>
  <c r="AI47" i="10"/>
  <c r="AH47" i="10"/>
  <c r="AG47" i="10"/>
  <c r="AF47" i="10"/>
  <c r="AE47" i="10"/>
  <c r="AD47" i="10"/>
  <c r="AC47" i="10"/>
  <c r="AJ46" i="10"/>
  <c r="AI46" i="10"/>
  <c r="AH46" i="10"/>
  <c r="AG46" i="10"/>
  <c r="AF46" i="10"/>
  <c r="AE46" i="10"/>
  <c r="AD46" i="10"/>
  <c r="AC46" i="10"/>
  <c r="AJ45" i="10"/>
  <c r="AI45" i="10"/>
  <c r="AH45" i="10"/>
  <c r="AG45" i="10"/>
  <c r="AF45" i="10"/>
  <c r="AE45" i="10"/>
  <c r="AD45" i="10"/>
  <c r="AC45" i="10"/>
  <c r="AJ44" i="10"/>
  <c r="AI44" i="10"/>
  <c r="AH44" i="10"/>
  <c r="AG44" i="10"/>
  <c r="AF44" i="10"/>
  <c r="AE44" i="10"/>
  <c r="AD44" i="10"/>
  <c r="AC44" i="10"/>
  <c r="AJ33" i="10"/>
  <c r="AI33" i="10"/>
  <c r="AH33" i="10"/>
  <c r="AG33" i="10"/>
  <c r="AF33" i="10"/>
  <c r="AE33" i="10"/>
  <c r="AD33" i="10"/>
  <c r="AC33" i="10"/>
  <c r="AJ32" i="10"/>
  <c r="AI32" i="10"/>
  <c r="AH32" i="10"/>
  <c r="AG32" i="10"/>
  <c r="AF32" i="10"/>
  <c r="AE32" i="10"/>
  <c r="AD32" i="10"/>
  <c r="AC32" i="10"/>
  <c r="AJ31" i="10"/>
  <c r="AI31" i="10"/>
  <c r="AH31" i="10"/>
  <c r="AG31" i="10"/>
  <c r="AF31" i="10"/>
  <c r="AE31" i="10"/>
  <c r="AD31" i="10"/>
  <c r="AC31" i="10"/>
  <c r="AJ30" i="10"/>
  <c r="AI30" i="10"/>
  <c r="AH30" i="10"/>
  <c r="AH34" i="10" s="1"/>
  <c r="AG30" i="10"/>
  <c r="AG34" i="10" s="1"/>
  <c r="AF30" i="10"/>
  <c r="AF34" i="10" s="1"/>
  <c r="AE30" i="10"/>
  <c r="AD30" i="10"/>
  <c r="AD34" i="10" s="1"/>
  <c r="AC30" i="10"/>
  <c r="AC34" i="10" s="1"/>
  <c r="AJ22" i="10"/>
  <c r="AI22" i="10"/>
  <c r="AH22" i="10"/>
  <c r="AG22" i="10"/>
  <c r="AF22" i="10"/>
  <c r="AE22" i="10"/>
  <c r="AD22" i="10"/>
  <c r="AC22" i="10"/>
  <c r="AJ21" i="10"/>
  <c r="AI21" i="10"/>
  <c r="AH21" i="10"/>
  <c r="AG21" i="10"/>
  <c r="AF21" i="10"/>
  <c r="AE21" i="10"/>
  <c r="AD21" i="10"/>
  <c r="AC21" i="10"/>
  <c r="AJ20" i="10"/>
  <c r="AI20" i="10"/>
  <c r="AH20" i="10"/>
  <c r="AG20" i="10"/>
  <c r="AF20" i="10"/>
  <c r="AE20" i="10"/>
  <c r="AD20" i="10"/>
  <c r="AC20" i="10"/>
  <c r="AI11" i="10"/>
  <c r="AH11" i="10"/>
  <c r="AG11" i="10"/>
  <c r="AF11" i="10"/>
  <c r="AE11" i="10"/>
  <c r="AD11" i="10"/>
  <c r="AC11" i="10"/>
  <c r="AJ10" i="10"/>
  <c r="J48" i="10"/>
  <c r="I48" i="10"/>
  <c r="J34" i="10"/>
  <c r="I34" i="10"/>
  <c r="I10" i="10" s="1"/>
  <c r="J23" i="10"/>
  <c r="J9" i="10" s="1"/>
  <c r="I23" i="10"/>
  <c r="I9" i="10" s="1"/>
  <c r="J10" i="10"/>
  <c r="J4" i="10"/>
  <c r="I4" i="10"/>
  <c r="J3" i="10"/>
  <c r="I3" i="10"/>
  <c r="P48" i="10"/>
  <c r="O48" i="10"/>
  <c r="N48" i="10"/>
  <c r="M48" i="10"/>
  <c r="L48" i="10"/>
  <c r="K48" i="10"/>
  <c r="P34" i="10"/>
  <c r="P10" i="10" s="1"/>
  <c r="O34" i="10"/>
  <c r="O10" i="10" s="1"/>
  <c r="N34" i="10"/>
  <c r="N10" i="10" s="1"/>
  <c r="M34" i="10"/>
  <c r="M10" i="10" s="1"/>
  <c r="L34" i="10"/>
  <c r="L10" i="10" s="1"/>
  <c r="K34" i="10"/>
  <c r="K10" i="10" s="1"/>
  <c r="P23" i="10"/>
  <c r="P9" i="10" s="1"/>
  <c r="O23" i="10"/>
  <c r="O9" i="10" s="1"/>
  <c r="N23" i="10"/>
  <c r="N9" i="10" s="1"/>
  <c r="M23" i="10"/>
  <c r="M9" i="10" s="1"/>
  <c r="L23" i="10"/>
  <c r="L9" i="10" s="1"/>
  <c r="K23" i="10"/>
  <c r="K9" i="10" s="1"/>
  <c r="P4" i="10"/>
  <c r="O4" i="10"/>
  <c r="N4" i="10"/>
  <c r="M4" i="10"/>
  <c r="L4" i="10"/>
  <c r="K4" i="10"/>
  <c r="P3" i="10"/>
  <c r="O3" i="10"/>
  <c r="N3" i="10"/>
  <c r="M3" i="10"/>
  <c r="L3" i="10"/>
  <c r="K3" i="10"/>
  <c r="L123" i="8"/>
  <c r="K123" i="8"/>
  <c r="J123" i="8"/>
  <c r="L119" i="8"/>
  <c r="K119" i="8"/>
  <c r="J119" i="8"/>
  <c r="L113" i="8"/>
  <c r="K113" i="8"/>
  <c r="J113" i="8"/>
  <c r="L94" i="8"/>
  <c r="K94" i="8"/>
  <c r="J94" i="8"/>
  <c r="L93" i="8"/>
  <c r="K93" i="8"/>
  <c r="J93" i="8"/>
  <c r="L86" i="8"/>
  <c r="K86" i="8"/>
  <c r="J86" i="8"/>
  <c r="L74" i="8"/>
  <c r="L80" i="8" s="1"/>
  <c r="K74" i="8"/>
  <c r="K80" i="8" s="1"/>
  <c r="J74" i="8"/>
  <c r="J80" i="8" s="1"/>
  <c r="L59" i="8"/>
  <c r="L67" i="8" s="1"/>
  <c r="K59" i="8"/>
  <c r="K67" i="8" s="1"/>
  <c r="J59" i="8"/>
  <c r="J67" i="8" s="1"/>
  <c r="L50" i="8"/>
  <c r="K50" i="8"/>
  <c r="J50" i="8"/>
  <c r="L49" i="8"/>
  <c r="K49" i="8"/>
  <c r="J49" i="8"/>
  <c r="L11" i="8"/>
  <c r="L14" i="8" s="1"/>
  <c r="K11" i="8"/>
  <c r="K14" i="8" s="1"/>
  <c r="J11" i="8"/>
  <c r="J14" i="8" s="1"/>
  <c r="J26" i="8" s="1"/>
  <c r="O123" i="8"/>
  <c r="N123" i="8"/>
  <c r="M123" i="8"/>
  <c r="I123" i="8"/>
  <c r="O119" i="8"/>
  <c r="N119" i="8"/>
  <c r="M119" i="8"/>
  <c r="I119" i="8"/>
  <c r="O113" i="8"/>
  <c r="N113" i="8"/>
  <c r="M113" i="8"/>
  <c r="I113" i="8"/>
  <c r="O94" i="8"/>
  <c r="N94" i="8"/>
  <c r="M94" i="8"/>
  <c r="I94" i="8"/>
  <c r="O93" i="8"/>
  <c r="N93" i="8"/>
  <c r="M93" i="8"/>
  <c r="I93" i="8"/>
  <c r="O86" i="8"/>
  <c r="N86" i="8"/>
  <c r="M86" i="8"/>
  <c r="I86" i="8"/>
  <c r="O74" i="8"/>
  <c r="O80" i="8" s="1"/>
  <c r="N74" i="8"/>
  <c r="N80" i="8" s="1"/>
  <c r="M74" i="8"/>
  <c r="M80" i="8" s="1"/>
  <c r="I74" i="8"/>
  <c r="I80" i="8" s="1"/>
  <c r="O59" i="8"/>
  <c r="O67" i="8" s="1"/>
  <c r="N59" i="8"/>
  <c r="N67" i="8" s="1"/>
  <c r="M59" i="8"/>
  <c r="M67" i="8" s="1"/>
  <c r="I59" i="8"/>
  <c r="I67" i="8" s="1"/>
  <c r="O50" i="8"/>
  <c r="N50" i="8"/>
  <c r="M50" i="8"/>
  <c r="I50" i="8"/>
  <c r="O49" i="8"/>
  <c r="N49" i="8"/>
  <c r="M49" i="8"/>
  <c r="I49" i="8"/>
  <c r="O11" i="8"/>
  <c r="O14" i="8" s="1"/>
  <c r="N11" i="8"/>
  <c r="N14" i="8" s="1"/>
  <c r="N26" i="8" s="1"/>
  <c r="M11" i="8"/>
  <c r="M14" i="8" s="1"/>
  <c r="I11" i="8"/>
  <c r="I14" i="8" s="1"/>
  <c r="I26" i="8" s="1"/>
  <c r="P123" i="8"/>
  <c r="P119" i="8"/>
  <c r="P113" i="8"/>
  <c r="P94" i="8"/>
  <c r="P93" i="8"/>
  <c r="P86" i="8"/>
  <c r="P74" i="8"/>
  <c r="P80" i="8" s="1"/>
  <c r="P59" i="8"/>
  <c r="P67" i="8" s="1"/>
  <c r="P50" i="8"/>
  <c r="P49" i="8"/>
  <c r="P11" i="8"/>
  <c r="P14" i="8" s="1"/>
  <c r="AC29" i="8"/>
  <c r="AD29" i="8"/>
  <c r="AE29" i="8"/>
  <c r="AF29" i="8"/>
  <c r="AG29" i="8"/>
  <c r="AH29" i="8"/>
  <c r="AI29" i="8"/>
  <c r="AC30" i="8"/>
  <c r="AD30" i="8"/>
  <c r="AE30" i="8"/>
  <c r="AF30" i="8"/>
  <c r="AG30" i="8"/>
  <c r="AH30" i="8"/>
  <c r="AI30" i="8"/>
  <c r="B39" i="10"/>
  <c r="B38" i="10"/>
  <c r="B37" i="10"/>
  <c r="B36" i="10"/>
  <c r="AA34" i="10"/>
  <c r="AA10" i="10" s="1"/>
  <c r="Z34" i="10"/>
  <c r="Z10" i="10" s="1"/>
  <c r="Y34" i="10"/>
  <c r="Y10" i="10" s="1"/>
  <c r="X34" i="10"/>
  <c r="X10" i="10" s="1"/>
  <c r="W34" i="10"/>
  <c r="W10" i="10" s="1"/>
  <c r="AI10" i="10" s="1"/>
  <c r="V34" i="10"/>
  <c r="V10" i="10" s="1"/>
  <c r="U34" i="10"/>
  <c r="U10" i="10" s="1"/>
  <c r="AG10" i="10" s="1"/>
  <c r="T34" i="10"/>
  <c r="T10" i="10" s="1"/>
  <c r="AF10" i="10" s="1"/>
  <c r="S34" i="10"/>
  <c r="S10" i="10" s="1"/>
  <c r="R34" i="10"/>
  <c r="R10" i="10" s="1"/>
  <c r="Q34" i="10"/>
  <c r="Q10" i="10" s="1"/>
  <c r="G34" i="10"/>
  <c r="G10" i="10" s="1"/>
  <c r="F34" i="10"/>
  <c r="F10" i="10" s="1"/>
  <c r="E34" i="10"/>
  <c r="E10" i="10" s="1"/>
  <c r="D34" i="10"/>
  <c r="D10" i="10" s="1"/>
  <c r="C34" i="10"/>
  <c r="C10" i="10" s="1"/>
  <c r="AI34" i="10"/>
  <c r="D48" i="10"/>
  <c r="C48" i="10"/>
  <c r="D23" i="10"/>
  <c r="D9" i="10" s="1"/>
  <c r="C23" i="10"/>
  <c r="C9" i="10" s="1"/>
  <c r="D4" i="10"/>
  <c r="C4" i="10"/>
  <c r="D3" i="10"/>
  <c r="C3" i="10"/>
  <c r="D123" i="8"/>
  <c r="C123" i="8"/>
  <c r="D119" i="8"/>
  <c r="C119" i="8"/>
  <c r="D113" i="8"/>
  <c r="C113" i="8"/>
  <c r="D94" i="8"/>
  <c r="C94" i="8"/>
  <c r="D93" i="8"/>
  <c r="C93" i="8"/>
  <c r="D86" i="8"/>
  <c r="C86" i="8"/>
  <c r="D74" i="8"/>
  <c r="D80" i="8" s="1"/>
  <c r="C74" i="8"/>
  <c r="C80" i="8" s="1"/>
  <c r="D59" i="8"/>
  <c r="D67" i="8" s="1"/>
  <c r="C59" i="8"/>
  <c r="C67" i="8" s="1"/>
  <c r="D50" i="8"/>
  <c r="C50" i="8"/>
  <c r="D49" i="8"/>
  <c r="C49" i="8"/>
  <c r="D11" i="8"/>
  <c r="D14" i="8" s="1"/>
  <c r="D26" i="8" s="1"/>
  <c r="D31" i="8" s="1"/>
  <c r="C11" i="8"/>
  <c r="C14" i="8" s="1"/>
  <c r="B53" i="10"/>
  <c r="B52" i="10"/>
  <c r="B51" i="10"/>
  <c r="AL78" i="8" l="1"/>
  <c r="AL54" i="8"/>
  <c r="AL37" i="8"/>
  <c r="AL38" i="8"/>
  <c r="L87" i="8"/>
  <c r="L89" i="8" s="1"/>
  <c r="O87" i="8"/>
  <c r="O89" i="8" s="1"/>
  <c r="AL19" i="8"/>
  <c r="AL21" i="8"/>
  <c r="AL22" i="8"/>
  <c r="I87" i="8"/>
  <c r="I89" i="8" s="1"/>
  <c r="K15" i="8"/>
  <c r="K26" i="8"/>
  <c r="K31" i="8" s="1"/>
  <c r="K35" i="8" s="1"/>
  <c r="K39" i="8" s="1"/>
  <c r="AD10" i="10"/>
  <c r="AH10" i="10"/>
  <c r="AC10" i="10"/>
  <c r="AE10" i="10"/>
  <c r="I12" i="10"/>
  <c r="J12" i="10"/>
  <c r="J15" i="10" s="1"/>
  <c r="L12" i="10"/>
  <c r="L52" i="10" s="1"/>
  <c r="L51" i="10"/>
  <c r="N12" i="10"/>
  <c r="N16" i="10" s="1"/>
  <c r="K12" i="10"/>
  <c r="K16" i="10" s="1"/>
  <c r="M12" i="10"/>
  <c r="M15" i="10" s="1"/>
  <c r="O12" i="10"/>
  <c r="O15" i="10" s="1"/>
  <c r="P12" i="10"/>
  <c r="AJ34" i="10"/>
  <c r="L15" i="8"/>
  <c r="L26" i="8"/>
  <c r="J31" i="8"/>
  <c r="J27" i="8"/>
  <c r="J87" i="8"/>
  <c r="J89" i="8" s="1"/>
  <c r="K87" i="8"/>
  <c r="K89" i="8" s="1"/>
  <c r="J15" i="8"/>
  <c r="M87" i="8"/>
  <c r="M89" i="8" s="1"/>
  <c r="O26" i="8"/>
  <c r="O15" i="8"/>
  <c r="I31" i="8"/>
  <c r="I27" i="8"/>
  <c r="N87" i="8"/>
  <c r="N89" i="8" s="1"/>
  <c r="M26" i="8"/>
  <c r="M15" i="8"/>
  <c r="N27" i="8"/>
  <c r="N31" i="8"/>
  <c r="I15" i="8"/>
  <c r="N15" i="8"/>
  <c r="P87" i="8"/>
  <c r="P89" i="8" s="1"/>
  <c r="P15" i="8"/>
  <c r="P26" i="8"/>
  <c r="D87" i="8"/>
  <c r="D89" i="8" s="1"/>
  <c r="AL20" i="8"/>
  <c r="AL18" i="8"/>
  <c r="AL23" i="8"/>
  <c r="C87" i="8"/>
  <c r="C89" i="8" s="1"/>
  <c r="D15" i="8"/>
  <c r="AE34" i="10"/>
  <c r="D12" i="10"/>
  <c r="C12" i="10"/>
  <c r="C15" i="8"/>
  <c r="C26" i="8"/>
  <c r="D35" i="8"/>
  <c r="D39" i="8" s="1"/>
  <c r="D46" i="8" s="1"/>
  <c r="D32" i="8"/>
  <c r="D27" i="8"/>
  <c r="K40" i="8" l="1"/>
  <c r="K46" i="8"/>
  <c r="K43" i="8"/>
  <c r="D40" i="8"/>
  <c r="D43" i="8"/>
  <c r="K27" i="8"/>
  <c r="K32" i="8"/>
  <c r="L13" i="10"/>
  <c r="L17" i="10"/>
  <c r="L25" i="10"/>
  <c r="L16" i="10"/>
  <c r="L27" i="10"/>
  <c r="L37" i="10"/>
  <c r="L50" i="10"/>
  <c r="L38" i="10"/>
  <c r="L36" i="10"/>
  <c r="K15" i="10"/>
  <c r="L53" i="10"/>
  <c r="L39" i="10"/>
  <c r="L15" i="10"/>
  <c r="L26" i="10"/>
  <c r="J38" i="10"/>
  <c r="J17" i="10"/>
  <c r="J52" i="10"/>
  <c r="J13" i="10"/>
  <c r="J37" i="10"/>
  <c r="J50" i="10"/>
  <c r="J26" i="10"/>
  <c r="J25" i="10"/>
  <c r="J51" i="10"/>
  <c r="J27" i="10"/>
  <c r="J39" i="10"/>
  <c r="J53" i="10"/>
  <c r="J36" i="10"/>
  <c r="J16" i="10"/>
  <c r="I50" i="10"/>
  <c r="I26" i="10"/>
  <c r="I38" i="10"/>
  <c r="I17" i="10"/>
  <c r="I25" i="10"/>
  <c r="I15" i="10"/>
  <c r="I52" i="10"/>
  <c r="I13" i="10"/>
  <c r="I37" i="10"/>
  <c r="I51" i="10"/>
  <c r="I27" i="10"/>
  <c r="I39" i="10"/>
  <c r="I53" i="10"/>
  <c r="I36" i="10"/>
  <c r="I16" i="10"/>
  <c r="O16" i="10"/>
  <c r="P53" i="10"/>
  <c r="P36" i="10"/>
  <c r="P25" i="10"/>
  <c r="P50" i="10"/>
  <c r="P37" i="10"/>
  <c r="P26" i="10"/>
  <c r="P51" i="10"/>
  <c r="P38" i="10"/>
  <c r="P27" i="10"/>
  <c r="P17" i="10"/>
  <c r="P52" i="10"/>
  <c r="P39" i="10"/>
  <c r="P13" i="10"/>
  <c r="N52" i="10"/>
  <c r="N39" i="10"/>
  <c r="N13" i="10"/>
  <c r="N53" i="10"/>
  <c r="N36" i="10"/>
  <c r="N25" i="10"/>
  <c r="N50" i="10"/>
  <c r="N37" i="10"/>
  <c r="N26" i="10"/>
  <c r="N51" i="10"/>
  <c r="N38" i="10"/>
  <c r="N27" i="10"/>
  <c r="N17" i="10"/>
  <c r="N15" i="10"/>
  <c r="P15" i="10"/>
  <c r="K51" i="10"/>
  <c r="K38" i="10"/>
  <c r="K27" i="10"/>
  <c r="K17" i="10"/>
  <c r="K52" i="10"/>
  <c r="K39" i="10"/>
  <c r="K13" i="10"/>
  <c r="K53" i="10"/>
  <c r="K36" i="10"/>
  <c r="K25" i="10"/>
  <c r="K50" i="10"/>
  <c r="K37" i="10"/>
  <c r="K26" i="10"/>
  <c r="O53" i="10"/>
  <c r="O36" i="10"/>
  <c r="O25" i="10"/>
  <c r="O50" i="10"/>
  <c r="O37" i="10"/>
  <c r="O26" i="10"/>
  <c r="O51" i="10"/>
  <c r="O38" i="10"/>
  <c r="O27" i="10"/>
  <c r="O17" i="10"/>
  <c r="O52" i="10"/>
  <c r="O39" i="10"/>
  <c r="O13" i="10"/>
  <c r="M52" i="10"/>
  <c r="M39" i="10"/>
  <c r="M13" i="10"/>
  <c r="M53" i="10"/>
  <c r="M36" i="10"/>
  <c r="M25" i="10"/>
  <c r="M50" i="10"/>
  <c r="M37" i="10"/>
  <c r="M26" i="10"/>
  <c r="M51" i="10"/>
  <c r="M38" i="10"/>
  <c r="M27" i="10"/>
  <c r="M17" i="10"/>
  <c r="M16" i="10"/>
  <c r="P16" i="10"/>
  <c r="J35" i="8"/>
  <c r="J39" i="8" s="1"/>
  <c r="J32" i="8"/>
  <c r="K97" i="8"/>
  <c r="K106" i="8" s="1"/>
  <c r="K127" i="8" s="1"/>
  <c r="K128" i="8" s="1"/>
  <c r="K130" i="8" s="1"/>
  <c r="L31" i="8"/>
  <c r="L27" i="8"/>
  <c r="N35" i="8"/>
  <c r="N39" i="8" s="1"/>
  <c r="N32" i="8"/>
  <c r="M31" i="8"/>
  <c r="M27" i="8"/>
  <c r="I35" i="8"/>
  <c r="I39" i="8" s="1"/>
  <c r="I32" i="8"/>
  <c r="O31" i="8"/>
  <c r="O27" i="8"/>
  <c r="P31" i="8"/>
  <c r="P27" i="8"/>
  <c r="C38" i="10"/>
  <c r="C37" i="10"/>
  <c r="C36" i="10"/>
  <c r="C39" i="10"/>
  <c r="D37" i="10"/>
  <c r="D36" i="10"/>
  <c r="D39" i="10"/>
  <c r="D38" i="10"/>
  <c r="C51" i="10"/>
  <c r="C17" i="10"/>
  <c r="C26" i="10"/>
  <c r="C50" i="10"/>
  <c r="C53" i="10"/>
  <c r="C25" i="10"/>
  <c r="C15" i="10"/>
  <c r="C52" i="10"/>
  <c r="C27" i="10"/>
  <c r="C13" i="10"/>
  <c r="D51" i="10"/>
  <c r="D17" i="10"/>
  <c r="D52" i="10"/>
  <c r="D27" i="10"/>
  <c r="D13" i="10"/>
  <c r="D53" i="10"/>
  <c r="D25" i="10"/>
  <c r="D15" i="10"/>
  <c r="D50" i="10"/>
  <c r="D26" i="10"/>
  <c r="C16" i="10"/>
  <c r="D16" i="10"/>
  <c r="D97" i="8"/>
  <c r="D106" i="8" s="1"/>
  <c r="D127" i="8" s="1"/>
  <c r="D128" i="8" s="1"/>
  <c r="D130" i="8" s="1"/>
  <c r="C31" i="8"/>
  <c r="C27" i="8"/>
  <c r="N40" i="8" l="1"/>
  <c r="N46" i="8"/>
  <c r="N43" i="8"/>
  <c r="I40" i="8"/>
  <c r="I46" i="8"/>
  <c r="I43" i="8"/>
  <c r="J40" i="8"/>
  <c r="J46" i="8"/>
  <c r="J43" i="8"/>
  <c r="J97" i="8"/>
  <c r="J106" i="8" s="1"/>
  <c r="J127" i="8" s="1"/>
  <c r="J128" i="8" s="1"/>
  <c r="J130" i="8" s="1"/>
  <c r="L35" i="8"/>
  <c r="L39" i="8" s="1"/>
  <c r="L32" i="8"/>
  <c r="M35" i="8"/>
  <c r="M39" i="8" s="1"/>
  <c r="M32" i="8"/>
  <c r="O35" i="8"/>
  <c r="O39" i="8" s="1"/>
  <c r="O32" i="8"/>
  <c r="I97" i="8"/>
  <c r="I106" i="8" s="1"/>
  <c r="I127" i="8" s="1"/>
  <c r="I128" i="8" s="1"/>
  <c r="I130" i="8" s="1"/>
  <c r="N97" i="8"/>
  <c r="N106" i="8" s="1"/>
  <c r="N127" i="8" s="1"/>
  <c r="N128" i="8" s="1"/>
  <c r="N130" i="8" s="1"/>
  <c r="P35" i="8"/>
  <c r="P39" i="8" s="1"/>
  <c r="P32" i="8"/>
  <c r="C32" i="8"/>
  <c r="C35" i="8"/>
  <c r="C39" i="8" s="1"/>
  <c r="C46" i="8" s="1"/>
  <c r="O40" i="8" l="1"/>
  <c r="O46" i="8"/>
  <c r="O43" i="8"/>
  <c r="M40" i="8"/>
  <c r="M46" i="8"/>
  <c r="M43" i="8"/>
  <c r="P40" i="8"/>
  <c r="P46" i="8"/>
  <c r="P43" i="8"/>
  <c r="L40" i="8"/>
  <c r="L46" i="8"/>
  <c r="L43" i="8"/>
  <c r="C40" i="8"/>
  <c r="C43" i="8"/>
  <c r="L97" i="8"/>
  <c r="L106" i="8" s="1"/>
  <c r="L127" i="8" s="1"/>
  <c r="L128" i="8" s="1"/>
  <c r="L130" i="8" s="1"/>
  <c r="O97" i="8"/>
  <c r="O106" i="8" s="1"/>
  <c r="O127" i="8" s="1"/>
  <c r="O128" i="8" s="1"/>
  <c r="O130" i="8" s="1"/>
  <c r="M97" i="8"/>
  <c r="M106" i="8" s="1"/>
  <c r="M127" i="8" s="1"/>
  <c r="M128" i="8" s="1"/>
  <c r="M130" i="8" s="1"/>
  <c r="P97" i="8"/>
  <c r="P106" i="8" s="1"/>
  <c r="P127" i="8" s="1"/>
  <c r="P128" i="8" s="1"/>
  <c r="P130" i="8" s="1"/>
  <c r="C97" i="8"/>
  <c r="C106" i="8" s="1"/>
  <c r="C127" i="8" s="1"/>
  <c r="C128" i="8" s="1"/>
  <c r="C130" i="8" s="1"/>
  <c r="B50" i="10" l="1"/>
  <c r="AA48" i="10"/>
  <c r="Z48" i="10"/>
  <c r="Y48" i="10"/>
  <c r="X48" i="10"/>
  <c r="W48" i="10"/>
  <c r="V48" i="10"/>
  <c r="U48" i="10"/>
  <c r="T48" i="10"/>
  <c r="S48" i="10"/>
  <c r="R48" i="10"/>
  <c r="Q48" i="10"/>
  <c r="G48" i="10"/>
  <c r="F48" i="10"/>
  <c r="E48" i="10"/>
  <c r="AI48" i="10"/>
  <c r="AH48" i="10"/>
  <c r="AF48" i="10"/>
  <c r="AC48" i="10"/>
  <c r="AJ48" i="10" l="1"/>
  <c r="AE48" i="10"/>
  <c r="AD48" i="10"/>
  <c r="AG48" i="10"/>
  <c r="AJ11" i="10" l="1"/>
  <c r="B26" i="10"/>
  <c r="B27" i="10"/>
  <c r="B25" i="10"/>
  <c r="AA23" i="10"/>
  <c r="AA9" i="10" s="1"/>
  <c r="Z23" i="10"/>
  <c r="Z9" i="10" s="1"/>
  <c r="Y23" i="10"/>
  <c r="Y9" i="10" s="1"/>
  <c r="X23" i="10"/>
  <c r="X9" i="10" s="1"/>
  <c r="AJ9" i="10" s="1"/>
  <c r="W23" i="10"/>
  <c r="W9" i="10" s="1"/>
  <c r="AI9" i="10" s="1"/>
  <c r="V23" i="10"/>
  <c r="V9" i="10" s="1"/>
  <c r="AH9" i="10" s="1"/>
  <c r="U23" i="10"/>
  <c r="U9" i="10" s="1"/>
  <c r="AG9" i="10" s="1"/>
  <c r="T23" i="10"/>
  <c r="T9" i="10" s="1"/>
  <c r="S23" i="10"/>
  <c r="S9" i="10" s="1"/>
  <c r="R23" i="10"/>
  <c r="R9" i="10" s="1"/>
  <c r="Q23" i="10"/>
  <c r="Q9" i="10" s="1"/>
  <c r="G23" i="10"/>
  <c r="G9" i="10" s="1"/>
  <c r="F23" i="10"/>
  <c r="F9" i="10" s="1"/>
  <c r="E23" i="10"/>
  <c r="E9" i="10" s="1"/>
  <c r="AC23" i="10"/>
  <c r="B16" i="10"/>
  <c r="AG55" i="8"/>
  <c r="AG64" i="8"/>
  <c r="AG73" i="8"/>
  <c r="AG72" i="8"/>
  <c r="AC55" i="8"/>
  <c r="AC64" i="8"/>
  <c r="AC73" i="8"/>
  <c r="AC72" i="8"/>
  <c r="AJ73" i="8"/>
  <c r="AI73" i="8"/>
  <c r="AH73" i="8"/>
  <c r="AF73" i="8"/>
  <c r="AE73" i="8"/>
  <c r="AD73" i="8"/>
  <c r="AJ72" i="8"/>
  <c r="AI72" i="8"/>
  <c r="AH72" i="8"/>
  <c r="AF72" i="8"/>
  <c r="AE72" i="8"/>
  <c r="AD72" i="8"/>
  <c r="AJ64" i="8"/>
  <c r="AI64" i="8"/>
  <c r="AH64" i="8"/>
  <c r="AF64" i="8"/>
  <c r="AE64" i="8"/>
  <c r="AD64" i="8"/>
  <c r="AJ55" i="8"/>
  <c r="AI55" i="8"/>
  <c r="AH55" i="8"/>
  <c r="AF55" i="8"/>
  <c r="AE55" i="8"/>
  <c r="AD55" i="8"/>
  <c r="AF9" i="10" l="1"/>
  <c r="AC9" i="10"/>
  <c r="AD9" i="10"/>
  <c r="AE9" i="10"/>
  <c r="AI23" i="10"/>
  <c r="AF23" i="10"/>
  <c r="AH23" i="10"/>
  <c r="AD23" i="10"/>
  <c r="AG23" i="10"/>
  <c r="AJ23" i="10"/>
  <c r="AE23" i="10"/>
  <c r="AJ30" i="8"/>
  <c r="AL72" i="8"/>
  <c r="AL73" i="8"/>
  <c r="AL64" i="8"/>
  <c r="AL55" i="8"/>
  <c r="AG58" i="8" l="1"/>
  <c r="AG57" i="8"/>
  <c r="AG66" i="8"/>
  <c r="AG65" i="8"/>
  <c r="AG71" i="8"/>
  <c r="AC66" i="8"/>
  <c r="AC65" i="8"/>
  <c r="AC71" i="8"/>
  <c r="AC58" i="8"/>
  <c r="AC57" i="8"/>
  <c r="AJ65" i="8"/>
  <c r="AI65" i="8"/>
  <c r="AH65" i="8"/>
  <c r="AF65" i="8"/>
  <c r="AE65" i="8"/>
  <c r="AD65" i="8"/>
  <c r="X85" i="8"/>
  <c r="T85" i="8"/>
  <c r="X84" i="8"/>
  <c r="T84" i="8"/>
  <c r="X83" i="8"/>
  <c r="T83" i="8"/>
  <c r="AJ57" i="8"/>
  <c r="AI57" i="8"/>
  <c r="AH57" i="8"/>
  <c r="AF57" i="8"/>
  <c r="AE57" i="8"/>
  <c r="AD57" i="8"/>
  <c r="AJ71" i="8"/>
  <c r="AI71" i="8"/>
  <c r="AH71" i="8"/>
  <c r="AF71" i="8"/>
  <c r="AE71" i="8"/>
  <c r="AD71" i="8"/>
  <c r="AJ66" i="8"/>
  <c r="AI66" i="8"/>
  <c r="AH66" i="8"/>
  <c r="AF66" i="8"/>
  <c r="AE66" i="8"/>
  <c r="AD66" i="8"/>
  <c r="AJ58" i="8"/>
  <c r="AI58" i="8"/>
  <c r="AH58" i="8"/>
  <c r="AF58" i="8"/>
  <c r="AE58" i="8"/>
  <c r="AD58" i="8"/>
  <c r="X45" i="8"/>
  <c r="T45" i="8"/>
  <c r="AL65" i="8" l="1"/>
  <c r="AL57" i="8"/>
  <c r="AL71" i="8"/>
  <c r="W12" i="10"/>
  <c r="AF12" i="10"/>
  <c r="AL58" i="8"/>
  <c r="AL66" i="8"/>
  <c r="AJ13" i="8"/>
  <c r="AJ85" i="8"/>
  <c r="AI85" i="8"/>
  <c r="AH85" i="8"/>
  <c r="AF85" i="8"/>
  <c r="AE85" i="8"/>
  <c r="AD85" i="8"/>
  <c r="AJ84" i="8"/>
  <c r="AI84" i="8"/>
  <c r="AH84" i="8"/>
  <c r="AF84" i="8"/>
  <c r="AE84" i="8"/>
  <c r="AD84" i="8"/>
  <c r="AJ83" i="8"/>
  <c r="AI83" i="8"/>
  <c r="AH83" i="8"/>
  <c r="AF83" i="8"/>
  <c r="AE83" i="8"/>
  <c r="AD83" i="8"/>
  <c r="AG85" i="8"/>
  <c r="AG84" i="8"/>
  <c r="AG83" i="8"/>
  <c r="AC85" i="8"/>
  <c r="AC84" i="8"/>
  <c r="AC83" i="8"/>
  <c r="AG56" i="8"/>
  <c r="AC56" i="8"/>
  <c r="AJ56" i="8"/>
  <c r="AI56" i="8"/>
  <c r="AH56" i="8"/>
  <c r="AF56" i="8"/>
  <c r="AE56" i="8"/>
  <c r="AD56" i="8"/>
  <c r="AA4" i="10"/>
  <c r="Z4" i="10"/>
  <c r="AI4" i="10" s="1"/>
  <c r="Y4" i="10"/>
  <c r="AH4" i="10" s="1"/>
  <c r="W4" i="10"/>
  <c r="AF4" i="10" s="1"/>
  <c r="V4" i="10"/>
  <c r="AE4" i="10" s="1"/>
  <c r="U4" i="10"/>
  <c r="AD4" i="10" s="1"/>
  <c r="S4" i="10"/>
  <c r="R4" i="10"/>
  <c r="Q4" i="10"/>
  <c r="AA3" i="10"/>
  <c r="Z3" i="10"/>
  <c r="AI3" i="10" s="1"/>
  <c r="Y3" i="10"/>
  <c r="AH3" i="10" s="1"/>
  <c r="X3" i="10"/>
  <c r="AG3" i="10" s="1"/>
  <c r="W3" i="10"/>
  <c r="AF3" i="10" s="1"/>
  <c r="V3" i="10"/>
  <c r="AE3" i="10" s="1"/>
  <c r="U3" i="10"/>
  <c r="AD3" i="10" s="1"/>
  <c r="T3" i="10"/>
  <c r="AC3" i="10" s="1"/>
  <c r="S3" i="10"/>
  <c r="R3" i="10"/>
  <c r="Q3" i="10"/>
  <c r="G4" i="10"/>
  <c r="F4" i="10"/>
  <c r="E4" i="10"/>
  <c r="G3" i="10"/>
  <c r="F3" i="10"/>
  <c r="E3" i="10"/>
  <c r="B2" i="10"/>
  <c r="B17" i="10"/>
  <c r="B15" i="10"/>
  <c r="AA12" i="10"/>
  <c r="Z12" i="10"/>
  <c r="Y12" i="10"/>
  <c r="V12" i="10"/>
  <c r="U12" i="10"/>
  <c r="S12" i="10"/>
  <c r="R12" i="10"/>
  <c r="Q12" i="10"/>
  <c r="G12" i="10"/>
  <c r="F12" i="10"/>
  <c r="S39" i="10" l="1"/>
  <c r="S38" i="10"/>
  <c r="S37" i="10"/>
  <c r="S36" i="10"/>
  <c r="W36" i="10"/>
  <c r="AF36" i="10" s="1"/>
  <c r="W39" i="10"/>
  <c r="AF39" i="10" s="1"/>
  <c r="W37" i="10"/>
  <c r="AF37" i="10" s="1"/>
  <c r="W38" i="10"/>
  <c r="AF38" i="10" s="1"/>
  <c r="R39" i="10"/>
  <c r="R38" i="10"/>
  <c r="R37" i="10"/>
  <c r="R36" i="10"/>
  <c r="V36" i="10"/>
  <c r="AE36" i="10" s="1"/>
  <c r="V38" i="10"/>
  <c r="AE38" i="10" s="1"/>
  <c r="V39" i="10"/>
  <c r="AE39" i="10" s="1"/>
  <c r="V37" i="10"/>
  <c r="AE37" i="10" s="1"/>
  <c r="Y39" i="10"/>
  <c r="AH39" i="10" s="1"/>
  <c r="Y38" i="10"/>
  <c r="AH38" i="10" s="1"/>
  <c r="Y37" i="10"/>
  <c r="AH37" i="10" s="1"/>
  <c r="Y36" i="10"/>
  <c r="AH36" i="10" s="1"/>
  <c r="U37" i="10"/>
  <c r="AD37" i="10" s="1"/>
  <c r="U36" i="10"/>
  <c r="AD36" i="10" s="1"/>
  <c r="U39" i="10"/>
  <c r="AD39" i="10" s="1"/>
  <c r="U38" i="10"/>
  <c r="AD38" i="10" s="1"/>
  <c r="F37" i="10"/>
  <c r="F39" i="10"/>
  <c r="F36" i="10"/>
  <c r="F38" i="10"/>
  <c r="Z39" i="10"/>
  <c r="AI39" i="10" s="1"/>
  <c r="Z38" i="10"/>
  <c r="AI38" i="10" s="1"/>
  <c r="Z37" i="10"/>
  <c r="AI37" i="10" s="1"/>
  <c r="Z36" i="10"/>
  <c r="AI36" i="10" s="1"/>
  <c r="Q39" i="10"/>
  <c r="Q38" i="10"/>
  <c r="Q37" i="10"/>
  <c r="Q36" i="10"/>
  <c r="G39" i="10"/>
  <c r="G38" i="10"/>
  <c r="G37" i="10"/>
  <c r="G36" i="10"/>
  <c r="AA39" i="10"/>
  <c r="AJ39" i="10" s="1"/>
  <c r="AA38" i="10"/>
  <c r="AJ38" i="10" s="1"/>
  <c r="AA37" i="10"/>
  <c r="AJ37" i="10" s="1"/>
  <c r="AA36" i="10"/>
  <c r="AJ36" i="10" s="1"/>
  <c r="Q52" i="10"/>
  <c r="Q53" i="10"/>
  <c r="Q51" i="10"/>
  <c r="R53" i="10"/>
  <c r="R51" i="10"/>
  <c r="R52" i="10"/>
  <c r="S53" i="10"/>
  <c r="S51" i="10"/>
  <c r="S52" i="10"/>
  <c r="V51" i="10"/>
  <c r="AE51" i="10" s="1"/>
  <c r="V52" i="10"/>
  <c r="AE52" i="10" s="1"/>
  <c r="V53" i="10"/>
  <c r="AE53" i="10" s="1"/>
  <c r="W51" i="10"/>
  <c r="AF51" i="10" s="1"/>
  <c r="W52" i="10"/>
  <c r="AF52" i="10" s="1"/>
  <c r="W53" i="10"/>
  <c r="AF53" i="10" s="1"/>
  <c r="Y52" i="10"/>
  <c r="AH52" i="10" s="1"/>
  <c r="Y53" i="10"/>
  <c r="AH53" i="10" s="1"/>
  <c r="Y51" i="10"/>
  <c r="AH51" i="10" s="1"/>
  <c r="U51" i="10"/>
  <c r="AD51" i="10" s="1"/>
  <c r="U52" i="10"/>
  <c r="AD52" i="10" s="1"/>
  <c r="U53" i="10"/>
  <c r="AD53" i="10" s="1"/>
  <c r="F52" i="10"/>
  <c r="F51" i="10"/>
  <c r="F53" i="10"/>
  <c r="Z53" i="10"/>
  <c r="AI53" i="10" s="1"/>
  <c r="Z52" i="10"/>
  <c r="AI52" i="10" s="1"/>
  <c r="Z51" i="10"/>
  <c r="AI51" i="10" s="1"/>
  <c r="G51" i="10"/>
  <c r="G53" i="10"/>
  <c r="G52" i="10"/>
  <c r="AA52" i="10"/>
  <c r="AJ52" i="10" s="1"/>
  <c r="AA51" i="10"/>
  <c r="AJ51" i="10" s="1"/>
  <c r="AA53" i="10"/>
  <c r="AJ53" i="10" s="1"/>
  <c r="Y50" i="10"/>
  <c r="AH50" i="10" s="1"/>
  <c r="Q50" i="10"/>
  <c r="W50" i="10"/>
  <c r="AF50" i="10" s="1"/>
  <c r="R50" i="10"/>
  <c r="Z50" i="10"/>
  <c r="AI50" i="10" s="1"/>
  <c r="AA50" i="10"/>
  <c r="AJ50" i="10" s="1"/>
  <c r="S50" i="10"/>
  <c r="U50" i="10"/>
  <c r="AD50" i="10" s="1"/>
  <c r="F50" i="10"/>
  <c r="G50" i="10"/>
  <c r="V50" i="10"/>
  <c r="AE50" i="10" s="1"/>
  <c r="AI12" i="10"/>
  <c r="AI13" i="10" s="1"/>
  <c r="AC12" i="10"/>
  <c r="AH12" i="10"/>
  <c r="AG12" i="10"/>
  <c r="AD12" i="10"/>
  <c r="AE12" i="10"/>
  <c r="Y26" i="10"/>
  <c r="AH26" i="10" s="1"/>
  <c r="F26" i="10"/>
  <c r="Z26" i="10"/>
  <c r="AI26" i="10" s="1"/>
  <c r="W26" i="10"/>
  <c r="AF26" i="10" s="1"/>
  <c r="V26" i="10"/>
  <c r="AE26" i="10" s="1"/>
  <c r="Q26" i="10"/>
  <c r="G26" i="10"/>
  <c r="R26" i="10"/>
  <c r="AA26" i="10"/>
  <c r="AJ26" i="10" s="1"/>
  <c r="S26" i="10"/>
  <c r="U26" i="10"/>
  <c r="AD26" i="10" s="1"/>
  <c r="V25" i="10"/>
  <c r="AE25" i="10" s="1"/>
  <c r="V27" i="10"/>
  <c r="AE27" i="10" s="1"/>
  <c r="Y27" i="10"/>
  <c r="AH27" i="10" s="1"/>
  <c r="Y25" i="10"/>
  <c r="AH25" i="10" s="1"/>
  <c r="Z25" i="10"/>
  <c r="AI25" i="10" s="1"/>
  <c r="Z27" i="10"/>
  <c r="AI27" i="10" s="1"/>
  <c r="W25" i="10"/>
  <c r="AF25" i="10" s="1"/>
  <c r="W27" i="10"/>
  <c r="AF27" i="10" s="1"/>
  <c r="G25" i="10"/>
  <c r="G27" i="10"/>
  <c r="AA27" i="10"/>
  <c r="AJ27" i="10" s="1"/>
  <c r="AA25" i="10"/>
  <c r="AJ25" i="10" s="1"/>
  <c r="Q27" i="10"/>
  <c r="Q25" i="10"/>
  <c r="R25" i="10"/>
  <c r="R27" i="10"/>
  <c r="S27" i="10"/>
  <c r="S25" i="10"/>
  <c r="F25" i="10"/>
  <c r="F27" i="10"/>
  <c r="U25" i="10"/>
  <c r="AD25" i="10" s="1"/>
  <c r="U27" i="10"/>
  <c r="AD27" i="10" s="1"/>
  <c r="S16" i="10"/>
  <c r="V16" i="10"/>
  <c r="AE16" i="10" s="1"/>
  <c r="Y16" i="10"/>
  <c r="AH16" i="10" s="1"/>
  <c r="U16" i="10"/>
  <c r="AD16" i="10" s="1"/>
  <c r="F16" i="10"/>
  <c r="W16" i="10"/>
  <c r="AF16" i="10" s="1"/>
  <c r="R16" i="10"/>
  <c r="Z16" i="10"/>
  <c r="AI16" i="10" s="1"/>
  <c r="G16" i="10"/>
  <c r="AA16" i="10"/>
  <c r="AJ16" i="10" s="1"/>
  <c r="Q16" i="10"/>
  <c r="T12" i="10"/>
  <c r="AJ4" i="10"/>
  <c r="AJ3" i="10"/>
  <c r="AL13" i="8"/>
  <c r="AA17" i="10"/>
  <c r="AJ17" i="10" s="1"/>
  <c r="S17" i="10"/>
  <c r="Q17" i="10"/>
  <c r="V17" i="10"/>
  <c r="AE17" i="10" s="1"/>
  <c r="F17" i="10"/>
  <c r="AL56" i="8"/>
  <c r="AL25" i="8"/>
  <c r="AL24" i="8"/>
  <c r="U17" i="10"/>
  <c r="AD17" i="10" s="1"/>
  <c r="F15" i="10"/>
  <c r="Y17" i="10"/>
  <c r="AH17" i="10" s="1"/>
  <c r="U15" i="10"/>
  <c r="AD15" i="10" s="1"/>
  <c r="Q15" i="10"/>
  <c r="V15" i="10"/>
  <c r="AE15" i="10" s="1"/>
  <c r="Y15" i="10"/>
  <c r="AH15" i="10" s="1"/>
  <c r="S15" i="10"/>
  <c r="AA15" i="10"/>
  <c r="AJ15" i="10" s="1"/>
  <c r="G17" i="10"/>
  <c r="W17" i="10"/>
  <c r="AF17" i="10" s="1"/>
  <c r="R17" i="10"/>
  <c r="Z17" i="10"/>
  <c r="AI17" i="10" s="1"/>
  <c r="G15" i="10"/>
  <c r="W15" i="10"/>
  <c r="AF15" i="10" s="1"/>
  <c r="X12" i="10"/>
  <c r="R15" i="10"/>
  <c r="Z15" i="10"/>
  <c r="AI15" i="10" s="1"/>
  <c r="X36" i="10" l="1"/>
  <c r="AG36" i="10" s="1"/>
  <c r="X39" i="10"/>
  <c r="AG39" i="10" s="1"/>
  <c r="X38" i="10"/>
  <c r="AG38" i="10" s="1"/>
  <c r="X37" i="10"/>
  <c r="AG37" i="10" s="1"/>
  <c r="T38" i="10"/>
  <c r="AC38" i="10" s="1"/>
  <c r="T37" i="10"/>
  <c r="AC37" i="10" s="1"/>
  <c r="T36" i="10"/>
  <c r="AC36" i="10" s="1"/>
  <c r="T39" i="10"/>
  <c r="AC39" i="10" s="1"/>
  <c r="T53" i="10"/>
  <c r="AC53" i="10" s="1"/>
  <c r="T51" i="10"/>
  <c r="AC51" i="10" s="1"/>
  <c r="T52" i="10"/>
  <c r="AC52" i="10" s="1"/>
  <c r="X51" i="10"/>
  <c r="AG51" i="10" s="1"/>
  <c r="X52" i="10"/>
  <c r="AG52" i="10" s="1"/>
  <c r="X53" i="10"/>
  <c r="AG53" i="10" s="1"/>
  <c r="X50" i="10"/>
  <c r="AG50" i="10" s="1"/>
  <c r="T50" i="10"/>
  <c r="AC50" i="10" s="1"/>
  <c r="X26" i="10"/>
  <c r="AG26" i="10" s="1"/>
  <c r="T26" i="10"/>
  <c r="AC26" i="10" s="1"/>
  <c r="X25" i="10"/>
  <c r="AG25" i="10" s="1"/>
  <c r="X27" i="10"/>
  <c r="AG27" i="10" s="1"/>
  <c r="T25" i="10"/>
  <c r="AC25" i="10" s="1"/>
  <c r="T27" i="10"/>
  <c r="AC27" i="10" s="1"/>
  <c r="T16" i="10"/>
  <c r="AC16" i="10" s="1"/>
  <c r="X16" i="10"/>
  <c r="AG16" i="10" s="1"/>
  <c r="T17" i="10"/>
  <c r="AC17" i="10" s="1"/>
  <c r="T15" i="10"/>
  <c r="AC15" i="10" s="1"/>
  <c r="X17" i="10"/>
  <c r="AG17" i="10" s="1"/>
  <c r="X15" i="10"/>
  <c r="AG15" i="10" s="1"/>
  <c r="AJ12" i="10" l="1"/>
  <c r="K14" i="9"/>
  <c r="O14" i="9"/>
  <c r="AI45" i="8"/>
  <c r="AH45" i="8"/>
  <c r="AG45" i="8"/>
  <c r="AF45" i="8"/>
  <c r="AE45" i="8"/>
  <c r="AD45" i="8"/>
  <c r="AC45" i="8"/>
  <c r="AI42" i="8"/>
  <c r="AH42" i="8"/>
  <c r="AF42" i="8"/>
  <c r="AE42" i="8"/>
  <c r="AD42" i="8"/>
  <c r="K55" i="9"/>
  <c r="T55" i="9" s="1"/>
  <c r="AG53" i="8"/>
  <c r="K63" i="9"/>
  <c r="T63" i="9" s="1"/>
  <c r="K66" i="9"/>
  <c r="T66" i="9" s="1"/>
  <c r="AC63" i="8"/>
  <c r="K65" i="9"/>
  <c r="T65" i="9" s="1"/>
  <c r="K67" i="9"/>
  <c r="T67" i="9" s="1"/>
  <c r="AG63" i="8"/>
  <c r="AG62" i="8"/>
  <c r="AG70" i="8"/>
  <c r="AG77" i="8"/>
  <c r="K73" i="9"/>
  <c r="T73" i="9" s="1"/>
  <c r="AA59" i="8"/>
  <c r="Z59" i="8"/>
  <c r="Y59" i="8"/>
  <c r="W59" i="8"/>
  <c r="V59" i="8"/>
  <c r="U59" i="8"/>
  <c r="S59" i="8"/>
  <c r="R59" i="8"/>
  <c r="Q59" i="8"/>
  <c r="G59" i="8"/>
  <c r="F59" i="8"/>
  <c r="E59" i="8"/>
  <c r="X118" i="8"/>
  <c r="T118" i="8"/>
  <c r="X117" i="8"/>
  <c r="T117" i="8"/>
  <c r="X116" i="8"/>
  <c r="T116" i="8"/>
  <c r="K47" i="9" s="1"/>
  <c r="X112" i="8"/>
  <c r="O45" i="9" s="1"/>
  <c r="T112" i="8"/>
  <c r="AD112" i="8" s="1"/>
  <c r="X111" i="8"/>
  <c r="T111" i="8"/>
  <c r="K46" i="9" s="1"/>
  <c r="X110" i="8"/>
  <c r="T110" i="8"/>
  <c r="X109" i="8"/>
  <c r="T109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I82" i="8"/>
  <c r="AH82" i="8"/>
  <c r="AF82" i="8"/>
  <c r="AE82" i="8"/>
  <c r="AD82" i="8"/>
  <c r="AI77" i="8"/>
  <c r="AH77" i="8"/>
  <c r="AF77" i="8"/>
  <c r="AE77" i="8"/>
  <c r="AD77" i="8"/>
  <c r="AI70" i="8"/>
  <c r="AH70" i="8"/>
  <c r="AI63" i="8"/>
  <c r="AH63" i="8"/>
  <c r="AF63" i="8"/>
  <c r="AE63" i="8"/>
  <c r="AD63" i="8"/>
  <c r="AI62" i="8"/>
  <c r="AH62" i="8"/>
  <c r="AF62" i="8"/>
  <c r="AE62" i="8"/>
  <c r="AD62" i="8"/>
  <c r="AI53" i="8"/>
  <c r="AH53" i="8"/>
  <c r="AF53" i="8"/>
  <c r="AE53" i="8"/>
  <c r="AD53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X104" i="8"/>
  <c r="T104" i="8"/>
  <c r="AE104" i="8" s="1"/>
  <c r="T133" i="8"/>
  <c r="T102" i="8"/>
  <c r="K32" i="9" s="1"/>
  <c r="J27" i="9"/>
  <c r="J38" i="9"/>
  <c r="R45" i="9"/>
  <c r="R46" i="9"/>
  <c r="R38" i="9"/>
  <c r="R32" i="9"/>
  <c r="R27" i="9"/>
  <c r="M46" i="9"/>
  <c r="N38" i="9"/>
  <c r="X103" i="8"/>
  <c r="N32" i="9"/>
  <c r="N27" i="9"/>
  <c r="P47" i="9"/>
  <c r="AF70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T134" i="8"/>
  <c r="K39" i="9" s="1"/>
  <c r="X134" i="8"/>
  <c r="O39" i="9" s="1"/>
  <c r="X133" i="8"/>
  <c r="X126" i="8"/>
  <c r="X125" i="8"/>
  <c r="AG125" i="8" s="1"/>
  <c r="T126" i="8"/>
  <c r="T125" i="8"/>
  <c r="AF125" i="8" s="1"/>
  <c r="AJ82" i="8"/>
  <c r="AJ77" i="8"/>
  <c r="AJ70" i="8"/>
  <c r="AJ63" i="8"/>
  <c r="AJ62" i="8"/>
  <c r="AJ53" i="8"/>
  <c r="D45" i="9"/>
  <c r="K64" i="9"/>
  <c r="T64" i="9" s="1"/>
  <c r="AC77" i="8"/>
  <c r="AG82" i="8"/>
  <c r="AC82" i="8"/>
  <c r="AI34" i="8"/>
  <c r="AC34" i="8"/>
  <c r="T42" i="8"/>
  <c r="AC42" i="8" s="1"/>
  <c r="O23" i="9"/>
  <c r="O34" i="9" s="1"/>
  <c r="K23" i="9"/>
  <c r="K34" i="9" s="1"/>
  <c r="O21" i="9"/>
  <c r="K21" i="9"/>
  <c r="O72" i="9"/>
  <c r="X72" i="9" s="1"/>
  <c r="K72" i="9"/>
  <c r="T72" i="9" s="1"/>
  <c r="AJ42" i="8"/>
  <c r="AJ45" i="8"/>
  <c r="X42" i="8"/>
  <c r="AG42" i="8" s="1"/>
  <c r="AJ29" i="8" l="1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F59" i="8"/>
  <c r="AH59" i="8"/>
  <c r="AI59" i="8"/>
  <c r="AJ59" i="8"/>
  <c r="X59" i="8"/>
  <c r="T59" i="8"/>
  <c r="K56" i="9"/>
  <c r="T56" i="9" s="1"/>
  <c r="AG59" i="8"/>
  <c r="X101" i="8"/>
  <c r="AJ101" i="8" s="1"/>
  <c r="W14" i="9"/>
  <c r="V21" i="9"/>
  <c r="U14" i="9"/>
  <c r="X34" i="9"/>
  <c r="V14" i="9"/>
  <c r="AC104" i="8"/>
  <c r="AF104" i="8"/>
  <c r="AI104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C116" i="8"/>
  <c r="AD111" i="8"/>
  <c r="AE112" i="8"/>
  <c r="Z23" i="9"/>
  <c r="W34" i="9"/>
  <c r="AC70" i="8"/>
  <c r="AD104" i="8"/>
  <c r="AE111" i="8"/>
  <c r="AF112" i="8"/>
  <c r="AD70" i="8"/>
  <c r="AC102" i="8"/>
  <c r="AG112" i="8"/>
  <c r="T23" i="9"/>
  <c r="AC53" i="8"/>
  <c r="AE70" i="8"/>
  <c r="AD102" i="8"/>
  <c r="AH112" i="8"/>
  <c r="U23" i="9"/>
  <c r="AE102" i="8"/>
  <c r="AG104" i="8"/>
  <c r="AI112" i="8"/>
  <c r="AD116" i="8"/>
  <c r="V23" i="9"/>
  <c r="AF102" i="8"/>
  <c r="AG103" i="8"/>
  <c r="AH104" i="8"/>
  <c r="AE116" i="8"/>
  <c r="U21" i="9"/>
  <c r="W23" i="9"/>
  <c r="AC62" i="8"/>
  <c r="AH103" i="8"/>
  <c r="AC112" i="8"/>
  <c r="AF116" i="8"/>
  <c r="X23" i="9"/>
  <c r="AI103" i="8"/>
  <c r="AC111" i="8"/>
  <c r="Y23" i="9"/>
  <c r="N49" i="9"/>
  <c r="AD34" i="8"/>
  <c r="AE34" i="8"/>
  <c r="AF34" i="8"/>
  <c r="AG34" i="8"/>
  <c r="AH34" i="8"/>
  <c r="J49" i="9"/>
  <c r="AL85" i="8"/>
  <c r="AL63" i="8"/>
  <c r="AL77" i="8"/>
  <c r="R49" i="9"/>
  <c r="M49" i="9"/>
  <c r="Y113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H41" i="9"/>
  <c r="F67" i="9"/>
  <c r="O65" i="9"/>
  <c r="X65" i="9" s="1"/>
  <c r="Y85" i="9"/>
  <c r="AA85" i="9"/>
  <c r="W85" i="9"/>
  <c r="K85" i="9"/>
  <c r="X85" i="9"/>
  <c r="Z85" i="9"/>
  <c r="O85" i="9"/>
  <c r="G113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U113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13" i="8"/>
  <c r="Q113" i="8"/>
  <c r="F113" i="8"/>
  <c r="T105" i="8"/>
  <c r="X105" i="8"/>
  <c r="AI105" i="8" s="1"/>
  <c r="AJ104" i="8"/>
  <c r="T103" i="8"/>
  <c r="AC103" i="8" s="1"/>
  <c r="AF109" i="8"/>
  <c r="T100" i="8"/>
  <c r="AC100" i="8" s="1"/>
  <c r="AA113" i="8"/>
  <c r="X102" i="8"/>
  <c r="AG109" i="8"/>
  <c r="AH110" i="8"/>
  <c r="X100" i="8"/>
  <c r="AG100" i="8" s="1"/>
  <c r="AD125" i="8"/>
  <c r="AJ103" i="8"/>
  <c r="AJ125" i="8"/>
  <c r="AI125" i="8"/>
  <c r="AH125" i="8"/>
  <c r="AE125" i="8"/>
  <c r="AC125" i="8"/>
  <c r="AJ112" i="8"/>
  <c r="AJ34" i="8"/>
  <c r="AL45" i="8"/>
  <c r="AL29" i="8" l="1"/>
  <c r="W10" i="9"/>
  <c r="V10" i="9"/>
  <c r="U10" i="9"/>
  <c r="T10" i="9"/>
  <c r="AG101" i="8"/>
  <c r="AI101" i="8"/>
  <c r="T101" i="8"/>
  <c r="AF101" i="8" s="1"/>
  <c r="AL101" i="8" s="1"/>
  <c r="AH101" i="8"/>
  <c r="AL104" i="8"/>
  <c r="V32" i="9"/>
  <c r="Z45" i="9"/>
  <c r="X22" i="9"/>
  <c r="V47" i="9"/>
  <c r="Z22" i="9"/>
  <c r="AH105" i="8"/>
  <c r="AC117" i="8"/>
  <c r="U20" i="9"/>
  <c r="AD103" i="8"/>
  <c r="AI110" i="8"/>
  <c r="AD117" i="8"/>
  <c r="AH109" i="8"/>
  <c r="AH102" i="8"/>
  <c r="AI102" i="8"/>
  <c r="K33" i="9"/>
  <c r="W22" i="9"/>
  <c r="AC22" i="9" s="1"/>
  <c r="V22" i="9"/>
  <c r="U47" i="9"/>
  <c r="N48" i="9"/>
  <c r="AG110" i="8"/>
  <c r="AI100" i="8"/>
  <c r="Y22" i="9"/>
  <c r="Y20" i="9"/>
  <c r="X19" i="9"/>
  <c r="J44" i="9"/>
  <c r="W45" i="9"/>
  <c r="V45" i="9"/>
  <c r="K48" i="9"/>
  <c r="AF117" i="8"/>
  <c r="U22" i="9"/>
  <c r="T45" i="9"/>
  <c r="AF111" i="8"/>
  <c r="AG105" i="8"/>
  <c r="X20" i="9"/>
  <c r="T32" i="9"/>
  <c r="U32" i="9"/>
  <c r="J48" i="9"/>
  <c r="AE117" i="8"/>
  <c r="AI109" i="8"/>
  <c r="AD109" i="8"/>
  <c r="AH100" i="8"/>
  <c r="AF100" i="8"/>
  <c r="AD100" i="8"/>
  <c r="AC105" i="8"/>
  <c r="AF105" i="8"/>
  <c r="AD105" i="8"/>
  <c r="U19" i="9"/>
  <c r="W19" i="9"/>
  <c r="V19" i="9"/>
  <c r="AF103" i="8"/>
  <c r="AL103" i="8" s="1"/>
  <c r="AE103" i="8"/>
  <c r="V20" i="9"/>
  <c r="W20" i="9"/>
  <c r="AG102" i="8"/>
  <c r="AE109" i="8"/>
  <c r="AE100" i="8"/>
  <c r="Y15" i="9"/>
  <c r="K28" i="9"/>
  <c r="W28" i="9" s="1"/>
  <c r="W15" i="9"/>
  <c r="U15" i="9"/>
  <c r="Y19" i="9"/>
  <c r="V15" i="9"/>
  <c r="AC109" i="8"/>
  <c r="X45" i="9"/>
  <c r="T15" i="9"/>
  <c r="AE105" i="8"/>
  <c r="T47" i="9"/>
  <c r="Y45" i="9"/>
  <c r="X15" i="9"/>
  <c r="W47" i="9"/>
  <c r="Q47" i="9"/>
  <c r="AC23" i="9"/>
  <c r="AC21" i="9"/>
  <c r="AL112" i="8"/>
  <c r="AC34" i="9"/>
  <c r="K41" i="9"/>
  <c r="O48" i="9"/>
  <c r="N41" i="9"/>
  <c r="AA20" i="9"/>
  <c r="O33" i="9"/>
  <c r="AI111" i="8"/>
  <c r="N46" i="9"/>
  <c r="AJ100" i="8"/>
  <c r="O27" i="9"/>
  <c r="Z27" i="9" s="1"/>
  <c r="O32" i="9"/>
  <c r="K38" i="9"/>
  <c r="S113" i="8"/>
  <c r="AE110" i="8"/>
  <c r="O28" i="9"/>
  <c r="Z28" i="9" s="1"/>
  <c r="O44" i="9"/>
  <c r="Z44" i="9" s="1"/>
  <c r="K27" i="9"/>
  <c r="T27" i="9" s="1"/>
  <c r="AA15" i="9"/>
  <c r="O38" i="9"/>
  <c r="R113" i="8"/>
  <c r="AJ102" i="8"/>
  <c r="AL102" i="8" s="1"/>
  <c r="Z113" i="8"/>
  <c r="AJ110" i="8"/>
  <c r="W113" i="8"/>
  <c r="AJ109" i="8"/>
  <c r="V113" i="8"/>
  <c r="AL34" i="8"/>
  <c r="AA73" i="9"/>
  <c r="AA72" i="9"/>
  <c r="O7" i="9"/>
  <c r="O6" i="9"/>
  <c r="AJ126" i="8"/>
  <c r="AA122" i="8"/>
  <c r="AH126" i="8"/>
  <c r="AJ122" i="8"/>
  <c r="W122" i="8"/>
  <c r="V122" i="8"/>
  <c r="T122" i="8"/>
  <c r="S122" i="8"/>
  <c r="Q119" i="8"/>
  <c r="R119" i="8"/>
  <c r="S119" i="8"/>
  <c r="R122" i="8"/>
  <c r="Y122" i="8"/>
  <c r="U122" i="8"/>
  <c r="AJ105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AC101" i="8"/>
  <c r="AD101" i="8"/>
  <c r="AE101" i="8"/>
  <c r="W48" i="9"/>
  <c r="O41" i="9"/>
  <c r="U27" i="9"/>
  <c r="AG111" i="8"/>
  <c r="Y27" i="9"/>
  <c r="AC20" i="9"/>
  <c r="X28" i="9"/>
  <c r="V28" i="9"/>
  <c r="X27" i="9"/>
  <c r="AG117" i="8"/>
  <c r="T113" i="8"/>
  <c r="AF110" i="8"/>
  <c r="AL110" i="8" s="1"/>
  <c r="AD110" i="8"/>
  <c r="X44" i="9"/>
  <c r="X32" i="9"/>
  <c r="Z32" i="9"/>
  <c r="T28" i="9"/>
  <c r="AI117" i="8"/>
  <c r="Y28" i="9"/>
  <c r="AH116" i="8"/>
  <c r="AI116" i="8"/>
  <c r="AG116" i="8"/>
  <c r="Y44" i="9"/>
  <c r="AH117" i="8"/>
  <c r="AF118" i="8"/>
  <c r="AD118" i="8"/>
  <c r="AE118" i="8"/>
  <c r="AC118" i="8"/>
  <c r="W27" i="9"/>
  <c r="V27" i="9"/>
  <c r="Y32" i="9"/>
  <c r="V48" i="9"/>
  <c r="U48" i="9"/>
  <c r="T48" i="9"/>
  <c r="Z48" i="9"/>
  <c r="Y48" i="9"/>
  <c r="X48" i="9"/>
  <c r="AI118" i="8"/>
  <c r="AG118" i="8"/>
  <c r="AH118" i="8"/>
  <c r="W46" i="9"/>
  <c r="AC110" i="8"/>
  <c r="O46" i="9"/>
  <c r="AA46" i="9" s="1"/>
  <c r="AH111" i="8"/>
  <c r="U33" i="9"/>
  <c r="W33" i="9"/>
  <c r="V33" i="9"/>
  <c r="T33" i="9"/>
  <c r="AA33" i="9"/>
  <c r="X33" i="9"/>
  <c r="Y33" i="9"/>
  <c r="Z33" i="9"/>
  <c r="U28" i="9"/>
  <c r="AC15" i="9"/>
  <c r="K49" i="9"/>
  <c r="O49" i="9"/>
  <c r="AL109" i="8"/>
  <c r="AJ117" i="8"/>
  <c r="AL117" i="8" s="1"/>
  <c r="AJ111" i="8"/>
  <c r="AL111" i="8" s="1"/>
  <c r="O9" i="9"/>
  <c r="O8" i="9"/>
  <c r="AJ116" i="8"/>
  <c r="O47" i="9"/>
  <c r="AA28" i="9"/>
  <c r="AC28" i="9" s="1"/>
  <c r="K44" i="9"/>
  <c r="W44" i="9" s="1"/>
  <c r="X113" i="8"/>
  <c r="Z122" i="8"/>
  <c r="AC133" i="8"/>
  <c r="AL105" i="8"/>
  <c r="AE122" i="8"/>
  <c r="AG122" i="8"/>
  <c r="AD126" i="8"/>
  <c r="AJ118" i="8"/>
  <c r="AE126" i="8"/>
  <c r="AG126" i="8"/>
  <c r="AD122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C126" i="8"/>
  <c r="AF126" i="8"/>
  <c r="AF122" i="8"/>
  <c r="AH122" i="8"/>
  <c r="AI126" i="8"/>
  <c r="AI122" i="8"/>
  <c r="F122" i="8"/>
  <c r="AC122" i="8" s="1"/>
  <c r="G122" i="8"/>
  <c r="X122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U29" i="9"/>
  <c r="U35" i="9" s="1"/>
  <c r="AC33" i="9"/>
  <c r="W29" i="9"/>
  <c r="W35" i="9" s="1"/>
  <c r="V29" i="9"/>
  <c r="V35" i="9" s="1"/>
  <c r="X46" i="9"/>
  <c r="T44" i="9"/>
  <c r="V44" i="9"/>
  <c r="Y46" i="9"/>
  <c r="AL118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H133" i="8"/>
  <c r="AI133" i="8"/>
  <c r="AF133" i="8"/>
  <c r="AE133" i="8"/>
  <c r="AD133" i="8"/>
  <c r="AJ133" i="8"/>
  <c r="AG133" i="8"/>
  <c r="AC14" i="9"/>
  <c r="X10" i="9" l="1"/>
  <c r="X16" i="9" s="1"/>
  <c r="X24" i="9" s="1"/>
  <c r="X29" i="9" s="1"/>
  <c r="X35" i="9" s="1"/>
  <c r="AA57" i="9" l="1"/>
  <c r="AA56" i="9"/>
  <c r="X8" i="8"/>
  <c r="X4" i="10" s="1"/>
  <c r="AG4" i="10" s="1"/>
  <c r="T8" i="8"/>
  <c r="T4" i="10" s="1"/>
  <c r="AC4" i="10" s="1"/>
  <c r="E58" i="9" l="1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AA74" i="8"/>
  <c r="R68" i="9" s="1"/>
  <c r="Z74" i="8"/>
  <c r="Q68" i="9" s="1"/>
  <c r="Z68" i="9" s="1"/>
  <c r="Y74" i="8"/>
  <c r="P68" i="9" s="1"/>
  <c r="Y68" i="9" s="1"/>
  <c r="W74" i="8"/>
  <c r="N68" i="9" s="1"/>
  <c r="W68" i="9" s="1"/>
  <c r="V74" i="8"/>
  <c r="M68" i="9" s="1"/>
  <c r="V68" i="9" s="1"/>
  <c r="U74" i="8"/>
  <c r="L68" i="9" s="1"/>
  <c r="U68" i="9" s="1"/>
  <c r="S74" i="8"/>
  <c r="J68" i="9" s="1"/>
  <c r="R74" i="8"/>
  <c r="I68" i="9" s="1"/>
  <c r="Q74" i="8"/>
  <c r="H68" i="9" s="1"/>
  <c r="G74" i="8"/>
  <c r="F68" i="9" s="1"/>
  <c r="F74" i="8"/>
  <c r="E68" i="9" s="1"/>
  <c r="E74" i="8"/>
  <c r="D68" i="9" s="1"/>
  <c r="C68" i="9"/>
  <c r="AA55" i="9"/>
  <c r="AA58" i="9" s="1"/>
  <c r="R4" i="9"/>
  <c r="AA4" i="9" s="1"/>
  <c r="R3" i="9"/>
  <c r="AA3" i="9" s="1"/>
  <c r="AJ8" i="8"/>
  <c r="AJ94" i="8" s="1"/>
  <c r="AJ7" i="8"/>
  <c r="AJ93" i="8" s="1"/>
  <c r="AA94" i="8"/>
  <c r="AA93" i="8"/>
  <c r="AA86" i="8"/>
  <c r="R87" i="9" s="1"/>
  <c r="AA50" i="8"/>
  <c r="AA49" i="8"/>
  <c r="AA11" i="8"/>
  <c r="Y119" i="8"/>
  <c r="G119" i="8"/>
  <c r="F119" i="8"/>
  <c r="E119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S86" i="8"/>
  <c r="J87" i="9" s="1"/>
  <c r="Z94" i="8"/>
  <c r="Y94" i="8"/>
  <c r="X94" i="8"/>
  <c r="W94" i="8"/>
  <c r="V94" i="8"/>
  <c r="U94" i="8"/>
  <c r="T94" i="8"/>
  <c r="S94" i="8"/>
  <c r="R94" i="8"/>
  <c r="Q94" i="8"/>
  <c r="Z93" i="8"/>
  <c r="Y93" i="8"/>
  <c r="X93" i="8"/>
  <c r="W93" i="8"/>
  <c r="V93" i="8"/>
  <c r="U93" i="8"/>
  <c r="T93" i="8"/>
  <c r="S93" i="8"/>
  <c r="R93" i="8"/>
  <c r="Q93" i="8"/>
  <c r="W86" i="8"/>
  <c r="N87" i="9" s="1"/>
  <c r="V86" i="8"/>
  <c r="M87" i="9" s="1"/>
  <c r="U86" i="8"/>
  <c r="L87" i="9" s="1"/>
  <c r="R86" i="8"/>
  <c r="I87" i="9" s="1"/>
  <c r="Q86" i="8"/>
  <c r="H87" i="9" s="1"/>
  <c r="Z50" i="8"/>
  <c r="Y50" i="8"/>
  <c r="X50" i="8"/>
  <c r="W50" i="8"/>
  <c r="V50" i="8"/>
  <c r="U50" i="8"/>
  <c r="T50" i="8"/>
  <c r="S50" i="8"/>
  <c r="R50" i="8"/>
  <c r="Q50" i="8"/>
  <c r="Z49" i="8"/>
  <c r="Y49" i="8"/>
  <c r="X49" i="8"/>
  <c r="W49" i="8"/>
  <c r="V49" i="8"/>
  <c r="U49" i="8"/>
  <c r="T49" i="8"/>
  <c r="S49" i="8"/>
  <c r="R49" i="8"/>
  <c r="Q49" i="8"/>
  <c r="G50" i="8"/>
  <c r="F50" i="8"/>
  <c r="E50" i="8"/>
  <c r="G49" i="8"/>
  <c r="F49" i="8"/>
  <c r="E49" i="8"/>
  <c r="V11" i="8"/>
  <c r="U11" i="8"/>
  <c r="S11" i="8"/>
  <c r="R11" i="8"/>
  <c r="Q11" i="8"/>
  <c r="Z11" i="8"/>
  <c r="AD8" i="8"/>
  <c r="AC8" i="8"/>
  <c r="AD7" i="8"/>
  <c r="AC7" i="8"/>
  <c r="AH8" i="8"/>
  <c r="AG8" i="8"/>
  <c r="AF8" i="8"/>
  <c r="AE8" i="8"/>
  <c r="AH7" i="8"/>
  <c r="AG7" i="8"/>
  <c r="AF7" i="8"/>
  <c r="AE7" i="8"/>
  <c r="AI8" i="8"/>
  <c r="AI7" i="8"/>
  <c r="R14" i="8" l="1"/>
  <c r="Z14" i="8"/>
  <c r="V14" i="8"/>
  <c r="S14" i="8"/>
  <c r="Q14" i="8"/>
  <c r="U14" i="8"/>
  <c r="AA14" i="8"/>
  <c r="S13" i="10"/>
  <c r="Q13" i="10"/>
  <c r="R13" i="10"/>
  <c r="U13" i="10"/>
  <c r="AA13" i="10"/>
  <c r="V13" i="10"/>
  <c r="Z13" i="10"/>
  <c r="AL53" i="8"/>
  <c r="AL82" i="8"/>
  <c r="AL62" i="8"/>
  <c r="AL70" i="8"/>
  <c r="AA80" i="8"/>
  <c r="R69" i="9" s="1"/>
  <c r="U87" i="9"/>
  <c r="AA87" i="9"/>
  <c r="AH134" i="8"/>
  <c r="V87" i="9"/>
  <c r="W87" i="9"/>
  <c r="K58" i="9"/>
  <c r="S67" i="8"/>
  <c r="AH74" i="8"/>
  <c r="AI74" i="8"/>
  <c r="AJ74" i="8"/>
  <c r="AF74" i="8"/>
  <c r="T74" i="8"/>
  <c r="K68" i="9" s="1"/>
  <c r="T68" i="9" s="1"/>
  <c r="X74" i="8"/>
  <c r="O68" i="9" s="1"/>
  <c r="X68" i="9" s="1"/>
  <c r="S80" i="8"/>
  <c r="J69" i="9" s="1"/>
  <c r="AJ86" i="8"/>
  <c r="AJ10" i="8"/>
  <c r="R80" i="8"/>
  <c r="I69" i="9" s="1"/>
  <c r="AJ49" i="8"/>
  <c r="AJ50" i="8"/>
  <c r="Q80" i="8"/>
  <c r="H69" i="9" s="1"/>
  <c r="R67" i="8"/>
  <c r="Z119" i="8"/>
  <c r="U119" i="8"/>
  <c r="V119" i="8"/>
  <c r="Z67" i="8"/>
  <c r="W67" i="8"/>
  <c r="Q67" i="8"/>
  <c r="V67" i="8"/>
  <c r="U67" i="8"/>
  <c r="G80" i="8"/>
  <c r="F69" i="9" s="1"/>
  <c r="AF134" i="8"/>
  <c r="V58" i="9"/>
  <c r="U58" i="9"/>
  <c r="AG134" i="8"/>
  <c r="AD134" i="8"/>
  <c r="AE134" i="8"/>
  <c r="AC134" i="8"/>
  <c r="T11" i="8"/>
  <c r="T86" i="8"/>
  <c r="K87" i="9" s="1"/>
  <c r="T67" i="8"/>
  <c r="X67" i="8"/>
  <c r="U15" i="8" l="1"/>
  <c r="U26" i="8"/>
  <c r="U31" i="8" s="1"/>
  <c r="Q15" i="8"/>
  <c r="Q26" i="8"/>
  <c r="Q31" i="8" s="1"/>
  <c r="S15" i="8"/>
  <c r="S26" i="8"/>
  <c r="S31" i="8" s="1"/>
  <c r="V15" i="8"/>
  <c r="V26" i="8"/>
  <c r="Z15" i="8"/>
  <c r="Z26" i="8"/>
  <c r="Z31" i="8" s="1"/>
  <c r="AA15" i="8"/>
  <c r="AA26" i="8"/>
  <c r="R15" i="8"/>
  <c r="R26" i="8"/>
  <c r="R31" i="8" s="1"/>
  <c r="T14" i="8"/>
  <c r="T13" i="10"/>
  <c r="AA87" i="8"/>
  <c r="AA69" i="9"/>
  <c r="AA9" i="9"/>
  <c r="AC9" i="9" s="1"/>
  <c r="AA8" i="9"/>
  <c r="AC8" i="9" s="1"/>
  <c r="AA7" i="9"/>
  <c r="AC7" i="9" s="1"/>
  <c r="AG74" i="8"/>
  <c r="AL17" i="8"/>
  <c r="AL116" i="8"/>
  <c r="AA48" i="9"/>
  <c r="AJ67" i="8"/>
  <c r="AJ80" i="8"/>
  <c r="AJ87" i="8" s="1"/>
  <c r="AL74" i="8"/>
  <c r="AJ11" i="8"/>
  <c r="AH13" i="10" s="1"/>
  <c r="AL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R87" i="8"/>
  <c r="R89" i="8" s="1"/>
  <c r="AA88" i="9"/>
  <c r="AA97" i="9" s="1"/>
  <c r="T87" i="9"/>
  <c r="T88" i="9" s="1"/>
  <c r="T97" i="9" s="1"/>
  <c r="AA19" i="9"/>
  <c r="AA67" i="8"/>
  <c r="AA68" i="9"/>
  <c r="AA38" i="9"/>
  <c r="S87" i="8"/>
  <c r="S89" i="8" s="1"/>
  <c r="AA119" i="8"/>
  <c r="Q87" i="8"/>
  <c r="Q89" i="8" s="1"/>
  <c r="W119" i="8"/>
  <c r="AA44" i="9"/>
  <c r="T58" i="9"/>
  <c r="V80" i="8"/>
  <c r="M69" i="9" s="1"/>
  <c r="V69" i="9" s="1"/>
  <c r="U80" i="8"/>
  <c r="L69" i="9" s="1"/>
  <c r="U69" i="9" s="1"/>
  <c r="T80" i="8"/>
  <c r="K69" i="9" s="1"/>
  <c r="T69" i="9" s="1"/>
  <c r="W80" i="8"/>
  <c r="N69" i="9" s="1"/>
  <c r="W69" i="9" s="1"/>
  <c r="U39" i="9"/>
  <c r="X39" i="9"/>
  <c r="Y38" i="9"/>
  <c r="AA41" i="9"/>
  <c r="V39" i="9"/>
  <c r="Z38" i="9"/>
  <c r="W39" i="9"/>
  <c r="X38" i="9"/>
  <c r="T39" i="9"/>
  <c r="AA31" i="8" l="1"/>
  <c r="AA35" i="8" s="1"/>
  <c r="AA39" i="8" s="1"/>
  <c r="V31" i="8"/>
  <c r="V35" i="8" s="1"/>
  <c r="V39" i="8" s="1"/>
  <c r="U27" i="8"/>
  <c r="AA27" i="8"/>
  <c r="T15" i="8"/>
  <c r="T26" i="8"/>
  <c r="V27" i="8"/>
  <c r="AJ14" i="8"/>
  <c r="AJ26" i="8" s="1"/>
  <c r="AC19" i="9"/>
  <c r="U35" i="8"/>
  <c r="U39" i="8" s="1"/>
  <c r="R35" i="8"/>
  <c r="R39" i="8" s="1"/>
  <c r="S32" i="8"/>
  <c r="S27" i="8"/>
  <c r="R27" i="8"/>
  <c r="AA89" i="8"/>
  <c r="R24" i="9"/>
  <c r="R29" i="9" s="1"/>
  <c r="R35" i="9" s="1"/>
  <c r="AA32" i="8"/>
  <c r="Q35" i="8"/>
  <c r="Q39" i="8" s="1"/>
  <c r="Q27" i="8"/>
  <c r="AJ89" i="8"/>
  <c r="Y40" i="9"/>
  <c r="Z40" i="9"/>
  <c r="X40" i="9"/>
  <c r="AC40" i="9"/>
  <c r="U40" i="9"/>
  <c r="V40" i="9"/>
  <c r="T40" i="9"/>
  <c r="Z39" i="9"/>
  <c r="AI134" i="8"/>
  <c r="U87" i="8"/>
  <c r="U89" i="8" s="1"/>
  <c r="Y39" i="9"/>
  <c r="V87" i="8"/>
  <c r="V89" i="8" s="1"/>
  <c r="AG113" i="8"/>
  <c r="AI113" i="8"/>
  <c r="AH113" i="8"/>
  <c r="AJ113" i="8"/>
  <c r="Z41" i="9"/>
  <c r="V32" i="8"/>
  <c r="AI119" i="8"/>
  <c r="AJ119" i="8"/>
  <c r="AE113" i="8"/>
  <c r="AG119" i="8"/>
  <c r="AE119" i="8"/>
  <c r="AH119" i="8"/>
  <c r="X119" i="8"/>
  <c r="W87" i="8"/>
  <c r="W89" i="8" s="1"/>
  <c r="T87" i="8"/>
  <c r="T89" i="8" s="1"/>
  <c r="Y41" i="9"/>
  <c r="AL100" i="8"/>
  <c r="X41" i="9"/>
  <c r="AF113" i="8"/>
  <c r="AD113" i="8"/>
  <c r="AC113" i="8"/>
  <c r="V38" i="9"/>
  <c r="U38" i="9"/>
  <c r="W38" i="9"/>
  <c r="T38" i="9"/>
  <c r="W41" i="9"/>
  <c r="AC41" i="9" s="1"/>
  <c r="T41" i="9"/>
  <c r="U41" i="9"/>
  <c r="V41" i="9"/>
  <c r="U32" i="8"/>
  <c r="R40" i="8" l="1"/>
  <c r="R46" i="8"/>
  <c r="R43" i="8"/>
  <c r="Q40" i="8"/>
  <c r="Q46" i="8"/>
  <c r="Q43" i="8"/>
  <c r="U40" i="8"/>
  <c r="U43" i="8"/>
  <c r="U46" i="8"/>
  <c r="V40" i="8"/>
  <c r="V46" i="8"/>
  <c r="V43" i="8"/>
  <c r="AA40" i="8"/>
  <c r="AA46" i="8"/>
  <c r="AA43" i="8"/>
  <c r="R97" i="8"/>
  <c r="Q97" i="8"/>
  <c r="U97" i="8"/>
  <c r="V97" i="8"/>
  <c r="V106" i="8" s="1"/>
  <c r="V127" i="8" s="1"/>
  <c r="AA97" i="8"/>
  <c r="AA106" i="8" s="1"/>
  <c r="AA127" i="8" s="1"/>
  <c r="T31" i="8"/>
  <c r="T32" i="8" s="1"/>
  <c r="AJ31" i="8"/>
  <c r="AJ32" i="8" s="1"/>
  <c r="T27" i="8"/>
  <c r="AJ15" i="8"/>
  <c r="X42" i="9"/>
  <c r="Y42" i="9"/>
  <c r="Z42" i="9"/>
  <c r="T42" i="9"/>
  <c r="AC38" i="9"/>
  <c r="W42" i="9"/>
  <c r="U42" i="9"/>
  <c r="V42" i="9"/>
  <c r="S35" i="8"/>
  <c r="S39" i="8" s="1"/>
  <c r="R32" i="8"/>
  <c r="R17" i="9"/>
  <c r="R25" i="9"/>
  <c r="Q32" i="8"/>
  <c r="AL42" i="8"/>
  <c r="AL113" i="8"/>
  <c r="AA39" i="9"/>
  <c r="AC39" i="9" s="1"/>
  <c r="AJ134" i="8"/>
  <c r="AA32" i="9"/>
  <c r="AC32" i="9" s="1"/>
  <c r="AA27" i="9"/>
  <c r="AA45" i="9"/>
  <c r="R30" i="9"/>
  <c r="AC119" i="8"/>
  <c r="T119" i="8"/>
  <c r="AF119" i="8"/>
  <c r="AL119" i="8" s="1"/>
  <c r="AD119" i="8"/>
  <c r="S40" i="8" l="1"/>
  <c r="S46" i="8"/>
  <c r="S43" i="8"/>
  <c r="S97" i="8"/>
  <c r="T35" i="8"/>
  <c r="T39" i="8" s="1"/>
  <c r="Q106" i="8"/>
  <c r="Q127" i="8" s="1"/>
  <c r="U106" i="8"/>
  <c r="U127" i="8" s="1"/>
  <c r="R106" i="8"/>
  <c r="R127" i="8" s="1"/>
  <c r="AJ27" i="8"/>
  <c r="AJ35" i="8"/>
  <c r="AJ39" i="8" s="1"/>
  <c r="AC27" i="9"/>
  <c r="AA6" i="9"/>
  <c r="AA10" i="9" s="1"/>
  <c r="AA16" i="9" s="1"/>
  <c r="AA24" i="9" s="1"/>
  <c r="AA29" i="9" s="1"/>
  <c r="AA35" i="9" s="1"/>
  <c r="AA42" i="9" s="1"/>
  <c r="V17" i="9"/>
  <c r="R36" i="9"/>
  <c r="R42" i="9"/>
  <c r="R50" i="9" s="1"/>
  <c r="AJ40" i="8" l="1"/>
  <c r="AJ46" i="8"/>
  <c r="AJ43" i="8"/>
  <c r="T40" i="8"/>
  <c r="T46" i="8"/>
  <c r="T43" i="8"/>
  <c r="T97" i="8"/>
  <c r="T106" i="8" s="1"/>
  <c r="T127" i="8" s="1"/>
  <c r="AJ97" i="8"/>
  <c r="S106" i="8"/>
  <c r="S127" i="8" s="1"/>
  <c r="U17" i="9"/>
  <c r="W25" i="9"/>
  <c r="W17" i="9"/>
  <c r="T17" i="9"/>
  <c r="V25" i="9"/>
  <c r="T25" i="9"/>
  <c r="Y11" i="9"/>
  <c r="AC6" i="9"/>
  <c r="R51" i="9"/>
  <c r="T30" i="9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D127" i="8"/>
  <c r="AE127" i="8"/>
  <c r="AC127" i="8"/>
  <c r="T96" i="9" a="1"/>
  <c r="T96" i="9" s="1"/>
  <c r="T94" i="9"/>
  <c r="T95" i="9" a="1"/>
  <c r="T95" i="9" s="1"/>
  <c r="T93" i="9"/>
  <c r="T36" i="9"/>
  <c r="T92" i="9"/>
  <c r="B94" i="8"/>
  <c r="B93" i="8"/>
  <c r="G94" i="8"/>
  <c r="F94" i="8"/>
  <c r="E94" i="8"/>
  <c r="G93" i="8"/>
  <c r="F93" i="8"/>
  <c r="E93" i="8"/>
  <c r="B50" i="8"/>
  <c r="B49" i="8"/>
  <c r="AI50" i="8"/>
  <c r="AH50" i="8"/>
  <c r="AG50" i="8"/>
  <c r="AE50" i="8"/>
  <c r="AD50" i="8"/>
  <c r="AC50" i="8"/>
  <c r="AF50" i="8"/>
  <c r="AI49" i="8"/>
  <c r="AH49" i="8"/>
  <c r="AG49" i="8"/>
  <c r="AF49" i="8"/>
  <c r="AE49" i="8"/>
  <c r="AD49" i="8"/>
  <c r="AC49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C93" i="8"/>
  <c r="AC94" i="8"/>
  <c r="AF93" i="8"/>
  <c r="AG93" i="8"/>
  <c r="AG94" i="8"/>
  <c r="AH94" i="8"/>
  <c r="AE93" i="8"/>
  <c r="AH93" i="8"/>
  <c r="AE94" i="8"/>
  <c r="AD94" i="8"/>
  <c r="AI93" i="8"/>
  <c r="AF94" i="8"/>
  <c r="AD93" i="8"/>
  <c r="AI94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X86" i="8" l="1"/>
  <c r="O87" i="9" s="1"/>
  <c r="Z86" i="8"/>
  <c r="Q87" i="9" s="1"/>
  <c r="Z87" i="9" l="1"/>
  <c r="X87" i="9"/>
  <c r="X88" i="9" s="1"/>
  <c r="X97" i="9" s="1"/>
  <c r="Y67" i="8"/>
  <c r="Y86" i="8"/>
  <c r="P87" i="9" s="1"/>
  <c r="R11" i="9" l="1"/>
  <c r="R12" i="9"/>
  <c r="Y87" i="9"/>
  <c r="Y88" i="9" s="1"/>
  <c r="Y97" i="9" s="1"/>
  <c r="Z88" i="9"/>
  <c r="Z97" i="9" s="1"/>
  <c r="AD11" i="8" l="1"/>
  <c r="F67" i="8"/>
  <c r="E67" i="8"/>
  <c r="G67" i="8"/>
  <c r="AD14" i="8" l="1"/>
  <c r="AE11" i="8"/>
  <c r="AC13" i="10" s="1"/>
  <c r="AE59" i="8"/>
  <c r="AE67" i="8" s="1"/>
  <c r="AE86" i="8"/>
  <c r="AC59" i="8"/>
  <c r="AC67" i="8" s="1"/>
  <c r="AE74" i="8"/>
  <c r="AE80" i="8" s="1"/>
  <c r="AD74" i="8"/>
  <c r="AD80" i="8" s="1"/>
  <c r="AD59" i="8"/>
  <c r="AD67" i="8" s="1"/>
  <c r="AC86" i="8"/>
  <c r="AC11" i="8"/>
  <c r="AC74" i="8"/>
  <c r="AC80" i="8" s="1"/>
  <c r="AD86" i="8"/>
  <c r="AG86" i="8"/>
  <c r="AG67" i="8"/>
  <c r="AH86" i="8"/>
  <c r="AG11" i="8"/>
  <c r="AE13" i="10" s="1"/>
  <c r="AG80" i="8"/>
  <c r="AH80" i="8"/>
  <c r="AF11" i="8"/>
  <c r="AD13" i="10" s="1"/>
  <c r="AH11" i="8"/>
  <c r="AF13" i="10" s="1"/>
  <c r="AH67" i="8"/>
  <c r="AD15" i="8" l="1"/>
  <c r="AD26" i="8"/>
  <c r="AG14" i="8"/>
  <c r="AH14" i="8"/>
  <c r="AF14" i="8"/>
  <c r="AF26" i="8" s="1"/>
  <c r="AC14" i="8"/>
  <c r="AE14" i="8"/>
  <c r="AL11" i="8"/>
  <c r="AJ13" i="10" s="1"/>
  <c r="AE87" i="8"/>
  <c r="AE89" i="8" s="1"/>
  <c r="AC87" i="8"/>
  <c r="AC89" i="8" s="1"/>
  <c r="AD87" i="8"/>
  <c r="AD89" i="8" s="1"/>
  <c r="AG87" i="8"/>
  <c r="AG89" i="8" s="1"/>
  <c r="AH87" i="8"/>
  <c r="AH89" i="8" s="1"/>
  <c r="AF31" i="8" l="1"/>
  <c r="AF32" i="8" s="1"/>
  <c r="AD31" i="8"/>
  <c r="AD32" i="8" s="1"/>
  <c r="AE15" i="8"/>
  <c r="AE26" i="8"/>
  <c r="AG15" i="8"/>
  <c r="AG26" i="8"/>
  <c r="AC15" i="8"/>
  <c r="AC26" i="8"/>
  <c r="AH15" i="8"/>
  <c r="AH26" i="8"/>
  <c r="AF15" i="8"/>
  <c r="AL15" i="8" s="1"/>
  <c r="AL14" i="8"/>
  <c r="AD27" i="8"/>
  <c r="Z17" i="9"/>
  <c r="AG31" i="8" l="1"/>
  <c r="AG32" i="8" s="1"/>
  <c r="AE31" i="8"/>
  <c r="AE32" i="8" s="1"/>
  <c r="AH31" i="8"/>
  <c r="AH35" i="8" s="1"/>
  <c r="AH39" i="8" s="1"/>
  <c r="AC31" i="8"/>
  <c r="AC32" i="8" s="1"/>
  <c r="AC27" i="8"/>
  <c r="AD35" i="8"/>
  <c r="AD39" i="8" s="1"/>
  <c r="AH27" i="8"/>
  <c r="AF35" i="8"/>
  <c r="AF39" i="8" s="1"/>
  <c r="AL26" i="8"/>
  <c r="AG27" i="8"/>
  <c r="AF27" i="8"/>
  <c r="AL27" i="8" s="1"/>
  <c r="AE27" i="8"/>
  <c r="Z94" i="9"/>
  <c r="Z25" i="9"/>
  <c r="AF40" i="8" l="1"/>
  <c r="AF46" i="8"/>
  <c r="AF43" i="8"/>
  <c r="AD40" i="8"/>
  <c r="AD43" i="8"/>
  <c r="AD46" i="8"/>
  <c r="AH40" i="8"/>
  <c r="AH46" i="8"/>
  <c r="AH43" i="8"/>
  <c r="AL40" i="8"/>
  <c r="AL39" i="8"/>
  <c r="AG35" i="8"/>
  <c r="AG39" i="8" s="1"/>
  <c r="AH32" i="8"/>
  <c r="AF97" i="8"/>
  <c r="AH97" i="8"/>
  <c r="AD97" i="8"/>
  <c r="AC35" i="8"/>
  <c r="AC39" i="8" s="1"/>
  <c r="AE35" i="8"/>
  <c r="AE39" i="8" s="1"/>
  <c r="AL32" i="8"/>
  <c r="AL31" i="8"/>
  <c r="Z30" i="9"/>
  <c r="AG40" i="8" l="1"/>
  <c r="AG46" i="8"/>
  <c r="AG43" i="8"/>
  <c r="AE40" i="8"/>
  <c r="AE43" i="8"/>
  <c r="AE46" i="8"/>
  <c r="AC40" i="8"/>
  <c r="AC46" i="8"/>
  <c r="AC43" i="8"/>
  <c r="AG97" i="8"/>
  <c r="AE97" i="8"/>
  <c r="AC97" i="8"/>
  <c r="AL46" i="8"/>
  <c r="AL43" i="8"/>
  <c r="AL35" i="8"/>
  <c r="Z96" i="9" a="1"/>
  <c r="Z96" i="9" s="1"/>
  <c r="Z36" i="9"/>
  <c r="Z95" i="9" a="1"/>
  <c r="Z95" i="9" s="1"/>
  <c r="Z92" i="9"/>
  <c r="Z93" i="9"/>
  <c r="AF80" i="8" l="1"/>
  <c r="AL80" i="8" s="1"/>
  <c r="W11" i="8" l="1"/>
  <c r="G11" i="8"/>
  <c r="F11" i="8"/>
  <c r="E11" i="8"/>
  <c r="G86" i="8"/>
  <c r="F87" i="9" s="1"/>
  <c r="F86" i="8"/>
  <c r="E87" i="9" s="1"/>
  <c r="E86" i="8"/>
  <c r="D87" i="9" s="1"/>
  <c r="C87" i="9"/>
  <c r="Z80" i="8"/>
  <c r="Q69" i="9" s="1"/>
  <c r="Z69" i="9" s="1"/>
  <c r="X80" i="8"/>
  <c r="O69" i="9" s="1"/>
  <c r="X69" i="9" s="1"/>
  <c r="AI11" i="8"/>
  <c r="AG13" i="10" s="1"/>
  <c r="P88" i="9"/>
  <c r="P97" i="9" s="1"/>
  <c r="H88" i="9"/>
  <c r="H97" i="9" s="1"/>
  <c r="F14" i="8" l="1"/>
  <c r="E14" i="8"/>
  <c r="G14" i="8"/>
  <c r="AI14" i="8"/>
  <c r="W14" i="8"/>
  <c r="F13" i="10"/>
  <c r="G13" i="10"/>
  <c r="W13" i="10"/>
  <c r="C69" i="9"/>
  <c r="F80" i="8"/>
  <c r="E69" i="9" s="1"/>
  <c r="E80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F86" i="8"/>
  <c r="Y80" i="8"/>
  <c r="P69" i="9" s="1"/>
  <c r="Y69" i="9" s="1"/>
  <c r="AI80" i="8"/>
  <c r="AI86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W15" i="8" l="1"/>
  <c r="W26" i="8"/>
  <c r="W31" i="8" s="1"/>
  <c r="AI15" i="8"/>
  <c r="AI26" i="8"/>
  <c r="G15" i="8"/>
  <c r="G26" i="8"/>
  <c r="E15" i="8"/>
  <c r="E26" i="8"/>
  <c r="F15" i="8"/>
  <c r="F26" i="8"/>
  <c r="F31" i="8" s="1"/>
  <c r="AF87" i="8"/>
  <c r="AL87" i="8" s="1"/>
  <c r="AL86" i="8"/>
  <c r="E87" i="8"/>
  <c r="E89" i="8" s="1"/>
  <c r="Z35" i="8"/>
  <c r="Z39" i="8" s="1"/>
  <c r="O88" i="9"/>
  <c r="O97" i="9" s="1"/>
  <c r="X87" i="8"/>
  <c r="X89" i="8" s="1"/>
  <c r="AL59" i="8"/>
  <c r="Z87" i="8"/>
  <c r="Z89" i="8" s="1"/>
  <c r="F87" i="8"/>
  <c r="F89" i="8" s="1"/>
  <c r="G87" i="8"/>
  <c r="G89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I67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Z40" i="8" l="1"/>
  <c r="Z46" i="8"/>
  <c r="Z43" i="8"/>
  <c r="Z97" i="8"/>
  <c r="E31" i="8"/>
  <c r="E35" i="8" s="1"/>
  <c r="E39" i="8" s="1"/>
  <c r="E46" i="8" s="1"/>
  <c r="G31" i="8"/>
  <c r="G35" i="8" s="1"/>
  <c r="G39" i="8" s="1"/>
  <c r="G46" i="8" s="1"/>
  <c r="AI31" i="8"/>
  <c r="AI32" i="8" s="1"/>
  <c r="W27" i="8"/>
  <c r="F27" i="8"/>
  <c r="R92" i="9"/>
  <c r="M17" i="9"/>
  <c r="M25" i="9"/>
  <c r="Z27" i="8"/>
  <c r="G27" i="8"/>
  <c r="F35" i="8"/>
  <c r="F39" i="8" s="1"/>
  <c r="F46" i="8" s="1"/>
  <c r="W35" i="8"/>
  <c r="W39" i="8" s="1"/>
  <c r="E27" i="8"/>
  <c r="AF67" i="8"/>
  <c r="Z32" i="8"/>
  <c r="AI27" i="8"/>
  <c r="AI87" i="8"/>
  <c r="Y87" i="8"/>
  <c r="Y89" i="8" s="1"/>
  <c r="O17" i="9"/>
  <c r="K17" i="9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W40" i="8" l="1"/>
  <c r="W46" i="8"/>
  <c r="W43" i="8"/>
  <c r="G40" i="8"/>
  <c r="G43" i="8"/>
  <c r="F40" i="8"/>
  <c r="F43" i="8"/>
  <c r="E40" i="8"/>
  <c r="E43" i="8"/>
  <c r="F97" i="8"/>
  <c r="W97" i="8"/>
  <c r="G32" i="8"/>
  <c r="AI35" i="8"/>
  <c r="AI39" i="8" s="1"/>
  <c r="G97" i="8"/>
  <c r="G106" i="8" s="1"/>
  <c r="G127" i="8" s="1"/>
  <c r="E97" i="8"/>
  <c r="E106" i="8" s="1"/>
  <c r="E32" i="8"/>
  <c r="Z106" i="8"/>
  <c r="Z127" i="8" s="1"/>
  <c r="AF89" i="8"/>
  <c r="AL67" i="8"/>
  <c r="F32" i="8"/>
  <c r="W32" i="8"/>
  <c r="AI89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AI40" i="8" l="1"/>
  <c r="AI46" i="8"/>
  <c r="AI43" i="8"/>
  <c r="AI97" i="8"/>
  <c r="F106" i="8"/>
  <c r="F127" i="8" s="1"/>
  <c r="W106" i="8"/>
  <c r="W127" i="8" s="1"/>
  <c r="AF127" i="8" s="1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27" i="8"/>
  <c r="AE106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F106" i="8" l="1"/>
  <c r="AC106" i="8"/>
  <c r="AD106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E123" i="8" l="1"/>
  <c r="E128" i="8" s="1"/>
  <c r="E130" i="8" s="1"/>
  <c r="F121" i="8" l="1"/>
  <c r="F123" i="8" l="1"/>
  <c r="F128" i="8" l="1"/>
  <c r="F130" i="8" s="1"/>
  <c r="G121" i="8" l="1"/>
  <c r="G123" i="8" s="1"/>
  <c r="G128" i="8" s="1"/>
  <c r="Q123" i="8"/>
  <c r="Q128" i="8" s="1"/>
  <c r="G130" i="8" l="1"/>
  <c r="Q130" i="8"/>
  <c r="R121" i="8"/>
  <c r="R123" i="8" s="1"/>
  <c r="R128" i="8" s="1"/>
  <c r="AD121" i="8"/>
  <c r="R130" i="8" l="1"/>
  <c r="S121" i="8"/>
  <c r="S123" i="8" s="1"/>
  <c r="S128" i="8" s="1"/>
  <c r="S130" i="8" s="1"/>
  <c r="AE121" i="8"/>
  <c r="AF121" i="8" l="1"/>
  <c r="T121" i="8"/>
  <c r="T123" i="8" s="1"/>
  <c r="T128" i="8" s="1"/>
  <c r="T130" i="8" s="1"/>
  <c r="AG121" i="8" l="1"/>
  <c r="U121" i="8"/>
  <c r="U123" i="8" s="1"/>
  <c r="U128" i="8" s="1"/>
  <c r="U130" i="8" s="1"/>
  <c r="AH121" i="8" l="1"/>
  <c r="AD123" i="8"/>
  <c r="AD128" i="8" s="1"/>
  <c r="AD130" i="8" s="1"/>
  <c r="V121" i="8"/>
  <c r="V123" i="8" s="1"/>
  <c r="V128" i="8" s="1"/>
  <c r="V130" i="8" s="1"/>
  <c r="AI121" i="8" l="1"/>
  <c r="AE123" i="8"/>
  <c r="AE128" i="8" s="1"/>
  <c r="AE130" i="8" s="1"/>
  <c r="W121" i="8"/>
  <c r="W123" i="8" s="1"/>
  <c r="W128" i="8" s="1"/>
  <c r="W130" i="8" s="1"/>
  <c r="AJ121" i="8" l="1"/>
  <c r="AF123" i="8"/>
  <c r="AF128" i="8" s="1"/>
  <c r="AF130" i="8" s="1"/>
  <c r="X121" i="8"/>
  <c r="X123" i="8" s="1"/>
  <c r="Y11" i="8" l="1"/>
  <c r="Y14" i="8" l="1"/>
  <c r="Y13" i="10"/>
  <c r="Y15" i="8" l="1"/>
  <c r="Y26" i="8"/>
  <c r="Y31" i="8" l="1"/>
  <c r="Y35" i="8" s="1"/>
  <c r="Y39" i="8" s="1"/>
  <c r="Y27" i="8"/>
  <c r="Y40" i="8" l="1"/>
  <c r="Y46" i="8"/>
  <c r="Y43" i="8"/>
  <c r="Y97" i="8"/>
  <c r="Y32" i="8"/>
  <c r="Y106" i="8" l="1"/>
  <c r="Y127" i="8" s="1"/>
  <c r="X11" i="8"/>
  <c r="X14" i="8" l="1"/>
  <c r="X13" i="10"/>
  <c r="X15" i="8" l="1"/>
  <c r="X26" i="8"/>
  <c r="X31" i="8" l="1"/>
  <c r="X35" i="8" s="1"/>
  <c r="X39" i="8" s="1"/>
  <c r="X27" i="8"/>
  <c r="X40" i="8" l="1"/>
  <c r="X46" i="8"/>
  <c r="X43" i="8"/>
  <c r="X32" i="8"/>
  <c r="X97" i="8"/>
  <c r="AJ106" i="8" l="1"/>
  <c r="AL106" i="8" s="1"/>
  <c r="AL97" i="8"/>
  <c r="AG106" i="8"/>
  <c r="AH106" i="8"/>
  <c r="X106" i="8"/>
  <c r="X127" i="8" s="1"/>
  <c r="X128" i="8" l="1"/>
  <c r="X130" i="8" s="1"/>
  <c r="AJ127" i="8"/>
  <c r="AI127" i="8"/>
  <c r="AH127" i="8"/>
  <c r="AG127" i="8"/>
  <c r="AG123" i="8"/>
  <c r="AI106" i="8"/>
  <c r="Y121" i="8" l="1"/>
  <c r="Y123" i="8" s="1"/>
  <c r="Y128" i="8" s="1"/>
  <c r="Y130" i="8" s="1"/>
  <c r="AG128" i="8"/>
  <c r="AG130" i="8" s="1"/>
  <c r="AH123" i="8"/>
  <c r="AH128" i="8" s="1"/>
  <c r="AH130" i="8" s="1"/>
  <c r="Z121" i="8" l="1"/>
  <c r="Z123" i="8" s="1"/>
  <c r="Z128" i="8" s="1"/>
  <c r="Z130" i="8" s="1"/>
  <c r="AI123" i="8"/>
  <c r="AI128" i="8" s="1"/>
  <c r="AI130" i="8" s="1"/>
  <c r="AC123" i="8"/>
  <c r="AC128" i="8" s="1"/>
  <c r="AC130" i="8" s="1"/>
  <c r="AA121" i="8" l="1"/>
  <c r="AA123" i="8" s="1"/>
  <c r="AA128" i="8" s="1"/>
  <c r="AJ123" i="8"/>
  <c r="AJ128" i="8" s="1"/>
  <c r="AJ130" i="8" s="1"/>
  <c r="AA130" i="8" l="1"/>
  <c r="C88" i="9"/>
  <c r="C97" i="9" s="1"/>
  <c r="C92" i="9"/>
  <c r="C93" i="9"/>
  <c r="E12" i="10" l="1"/>
  <c r="E36" i="10" l="1"/>
  <c r="E37" i="10"/>
  <c r="E39" i="10"/>
  <c r="E38" i="10"/>
  <c r="E51" i="10"/>
  <c r="E52" i="10"/>
  <c r="E53" i="10"/>
  <c r="E50" i="10"/>
  <c r="E26" i="10"/>
  <c r="E13" i="10"/>
  <c r="E25" i="10"/>
  <c r="E16" i="10"/>
  <c r="E15" i="10"/>
  <c r="E17" i="10"/>
  <c r="E27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<sst xmlns="http://schemas.openxmlformats.org/spreadsheetml/2006/main" count="265" uniqueCount="219">
  <si>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</si>
  <si>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</si>
  <si>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</si>
  <si>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</si>
  <si>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</si>
  <si>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</si>
  <si>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</si>
  <si>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</si>
  <si>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</si>
  <si>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</si>
  <si>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</si>
  <si>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</si>
  <si>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</si>
  <si>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</si>
  <si>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</si>
  <si>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</si>
  <si>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</si>
  <si>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</si>
  <si>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</si>
  <si>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</si>
  <si>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</si>
  <si>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</si>
  <si>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</si>
  <si>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</si>
  <si>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</si>
  <si>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</si>
  <si>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</si>
  <si>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</si>
  <si>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</si>
  <si>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</si>
  <si>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</si>
  <si>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</si>
  <si>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</si>
  <si>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</si>
  <si>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</si>
  <si>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</si>
  <si>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</si>
  <si>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</si>
  <si>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</si>
  <si>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</si>
  <si>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</si>
  <si>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</si>
  <si>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</si>
  <si>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</si>
  <si>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</si>
  <si>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</si>
  <si>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</si>
  <si>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</si>
  <si>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</si>
  <si>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</si>
  <si>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</si>
  <si>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</si>
  <si>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</si>
  <si>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</si>
  <si>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</si>
  <si>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</si>
  <si>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</si>
  <si>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</si>
  <si>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</si>
  <si>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</si>
  <si>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</si>
  <si>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</si>
  <si>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</si>
  <si>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</si>
  <si>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</si>
  <si>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</si>
  <si>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</si>
  <si>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</si>
  <si>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</si>
  <si>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</si>
  <si>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</si>
  <si>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</si>
  <si>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</si>
  <si>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</si>
  <si>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</si>
  <si>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</si>
  <si>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</si>
  <si>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</si>
  <si>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</si>
  <si>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</si>
  <si>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</si>
  <si>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</si>
  <si>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</si>
  <si>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</si>
  <si>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</si>
  <si>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</si>
  <si>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</si>
  <si>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</si>
  <si>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</si>
  <si>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</si>
  <si>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</si>
  <si>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</si>
  <si>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</si>
  <si>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</si>
  <si>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</si>
  <si>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</si>
  <si>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</si>
  <si>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</si>
  <si>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</si>
  <si>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</si>
  <si>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</si>
  <si>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</si>
  <si>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</si>
  <si>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</si>
  <si>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</si>
  <si>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</si>
  <si>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</si>
  <si>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</si>
  <si>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</si>
  <si>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</si>
  <si>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</si>
  <si>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</si>
  <si>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</si>
  <si>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</si>
  <si>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</si>
  <si>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</si>
  <si>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</si>
  <si>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</si>
  <si>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</si>
  <si>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</si>
  <si>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</si>
  <si>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</si>
  <si>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</si>
  <si>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</si>
  <si>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</si>
  <si>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</si>
  <si>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</si>
  <si>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</si>
  <si>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</si>
  <si>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</si>
  <si>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</si>
  <si>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</si>
  <si>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</si>
  <si>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</si>
  <si>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</si>
  <si>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</si>
  <si>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</si>
  <si>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</si>
  <si>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</si>
  <si>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</si>
  <si>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</si>
  <si>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</si>
  <si>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</si>
  <si>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</si>
  <si>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</si>
  <si>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</si>
  <si>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</si>
  <si>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</si>
  <si>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</si>
  <si>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</si>
  <si>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</si>
  <si>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</si>
  <si>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LT Debt</t>
  </si>
  <si>
    <t>Other LT Liabilities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</si>
  <si>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</si>
  <si>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</si>
  <si>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</si>
  <si>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</si>
  <si>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</si>
  <si>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</si>
  <si>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</si>
  <si>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</si>
  <si>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4Q22</t>
  </si>
  <si>
    <t>1Q22</t>
  </si>
  <si>
    <t>2Q22</t>
  </si>
  <si>
    <t>3Q22</t>
  </si>
  <si>
    <t>Cost Of Sales</t>
  </si>
  <si>
    <t>A/R</t>
  </si>
  <si>
    <t>Other LT Assets</t>
  </si>
  <si>
    <t>Accrued Expenses</t>
  </si>
  <si>
    <t>4Q21</t>
  </si>
  <si>
    <t>3Q21</t>
  </si>
  <si>
    <t>2Q21</t>
  </si>
  <si>
    <t>1Q21</t>
  </si>
  <si>
    <t>Other Income</t>
  </si>
  <si>
    <t>U.S. Revenues</t>
  </si>
  <si>
    <t>Electrophysiology</t>
  </si>
  <si>
    <t>Neuromodulation</t>
  </si>
  <si>
    <t>Total Revenues</t>
  </si>
  <si>
    <t xml:space="preserve">MedSurg </t>
  </si>
  <si>
    <t>Cardiology</t>
  </si>
  <si>
    <t>Peripheral Interventions</t>
  </si>
  <si>
    <t>Euro, Mid. East, Afr</t>
  </si>
  <si>
    <t>A-Pac</t>
  </si>
  <si>
    <t>Lat Am + Canada</t>
  </si>
  <si>
    <t>Endoscopy</t>
  </si>
  <si>
    <t>Urology</t>
  </si>
  <si>
    <t>Total MedSurg Revenues</t>
  </si>
  <si>
    <t>Interventional Cardiology</t>
  </si>
  <si>
    <t>Watchman</t>
  </si>
  <si>
    <t>Cardiac Rhythm</t>
  </si>
  <si>
    <t>Cardiology Revenues</t>
  </si>
  <si>
    <t>MedSurg Revenues</t>
  </si>
  <si>
    <t>Total Cardiology Revenues</t>
  </si>
  <si>
    <t>Revenue by Geo</t>
  </si>
  <si>
    <t xml:space="preserve">SG&amp;A </t>
  </si>
  <si>
    <t xml:space="preserve">R&amp;D </t>
  </si>
  <si>
    <t>Royalties</t>
  </si>
  <si>
    <t>Amortization</t>
  </si>
  <si>
    <t>Intangible Asset Impairment</t>
  </si>
  <si>
    <t>Contingent Consideration</t>
  </si>
  <si>
    <t>Restructuring Charges</t>
  </si>
  <si>
    <t>Litigation-Related net Charges</t>
  </si>
  <si>
    <t>Loss on Disposal of Assets</t>
  </si>
  <si>
    <t>Interest Income (Expenses)</t>
  </si>
  <si>
    <t>Net Income to non-controlling interests</t>
  </si>
  <si>
    <t>Net Income to BSX</t>
  </si>
  <si>
    <t>Preferred Stock Obligation</t>
  </si>
  <si>
    <t>Net Income Attr to Non-Cont</t>
  </si>
  <si>
    <t>Cash &amp; C.E.'s</t>
  </si>
  <si>
    <t>Prepaid Income Taxes</t>
  </si>
  <si>
    <t>Assets Held for Sale</t>
  </si>
  <si>
    <t>Other Current Assets</t>
  </si>
  <si>
    <t>Other Intangibles</t>
  </si>
  <si>
    <t>Deffered Taxes</t>
  </si>
  <si>
    <t>Current Debt</t>
  </si>
  <si>
    <t>Other Current Liabilities</t>
  </si>
  <si>
    <t>Deferred Income Taxes</t>
  </si>
  <si>
    <t xml:space="preserve">Boston Scientific Corp. (NYSE: BSX)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</si>
</sst>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2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41" fontId="6" fillId="0" borderId="0" xfId="0" applyNumberFormat="1" applyFont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51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7" width="9" style="5" bestFit="1" customWidth="1"/>
    <col min="8" max="8" width="1.5" style="5" customWidth="1"/>
    <col min="9" max="20" width="8.875" style="5" customWidth="1" outlineLevel="2"/>
    <col min="21" max="22" width="8.875" style="5" customWidth="1" outlineLevel="1"/>
    <col min="23" max="27" width="8.875" style="5" bestFit="1" customWidth="1"/>
    <col min="28" max="28" width="1.5" style="5" customWidth="1"/>
    <col min="29" max="31" width="8.75" style="5" customWidth="1" outlineLevel="1"/>
    <col min="32" max="32" width="9" style="5" bestFit="1" customWidth="1"/>
    <col min="33" max="35" width="9" style="5" customWidth="1" outlineLevel="1"/>
    <col min="36" max="36" width="9" style="5" bestFit="1" customWidth="1"/>
    <col min="37" max="37" width="1.25" style="5" customWidth="1"/>
    <col min="38" max="38" width="8" style="5" bestFit="1" customWidth="1"/>
    <col min="39" max="39" width="1.375" style="5" customWidth="1"/>
    <col min="40" max="16384" width="9" style="5"/>
  </cols>
  <sheetData>
    <row r="2" spans="1:38" ht="12.75" customHeight="1">
      <c r="B2" s="1" t="s">
        <v>218</v>
      </c>
      <c r="C2" s="101"/>
      <c r="D2" s="101"/>
      <c r="E2" s="101"/>
      <c r="F2" s="101"/>
      <c r="G2" s="101"/>
      <c r="H2" s="3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3"/>
      <c r="AC2" s="101"/>
      <c r="AD2" s="101"/>
      <c r="AE2" s="101"/>
      <c r="AF2" s="101"/>
      <c r="AG2" s="101"/>
      <c r="AH2" s="101"/>
      <c r="AI2" s="101"/>
      <c r="AJ2" s="101"/>
      <c r="AK2" s="3"/>
      <c r="AL2" s="1"/>
    </row>
    <row r="3" spans="1:38" ht="12.75" customHeight="1">
      <c r="B3" s="6" t="s">
        <v>74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3"/>
      <c r="AC3" s="4"/>
      <c r="AD3" s="4"/>
      <c r="AE3" s="4"/>
      <c r="AF3" s="4"/>
      <c r="AG3" s="4"/>
      <c r="AH3" s="4"/>
      <c r="AI3" s="4"/>
      <c r="AJ3" s="4"/>
      <c r="AK3" s="3"/>
      <c r="AL3" s="1"/>
    </row>
    <row r="4" spans="1:38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1"/>
    </row>
    <row r="6" spans="1:38" ht="12.75" customHeight="1">
      <c r="A6" s="5" t="s">
        <v>16</v>
      </c>
      <c r="B6" s="1" t="s">
        <v>72</v>
      </c>
      <c r="C6" s="2"/>
      <c r="D6" s="2"/>
      <c r="E6" s="2"/>
      <c r="F6" s="2"/>
      <c r="G6" s="2"/>
      <c r="H6" s="3"/>
      <c r="I6" s="2"/>
      <c r="J6" s="2"/>
      <c r="K6" s="2" t="s">
        <v>1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 t="s">
        <v>1</v>
      </c>
      <c r="X6" s="2"/>
      <c r="Y6" s="2"/>
      <c r="Z6" s="2"/>
      <c r="AA6" s="2"/>
      <c r="AB6" s="3"/>
      <c r="AC6" s="2"/>
      <c r="AD6" s="2"/>
      <c r="AE6" s="2" t="s">
        <v>10</v>
      </c>
      <c r="AF6" s="2" t="s">
        <v>10</v>
      </c>
      <c r="AG6" s="2"/>
      <c r="AH6" s="2"/>
      <c r="AI6" s="2"/>
      <c r="AJ6" s="2"/>
      <c r="AK6" s="38"/>
      <c r="AL6" s="162" t="s">
        <v>22</v>
      </c>
    </row>
    <row r="7" spans="1:38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173</v>
      </c>
      <c r="J7" s="4" t="s">
        <v>172</v>
      </c>
      <c r="K7" s="4" t="s">
        <v>171</v>
      </c>
      <c r="L7" s="4" t="s">
        <v>170</v>
      </c>
      <c r="M7" s="4" t="s">
        <v>163</v>
      </c>
      <c r="N7" s="4" t="s">
        <v>164</v>
      </c>
      <c r="O7" s="4" t="s">
        <v>165</v>
      </c>
      <c r="P7" s="4" t="s">
        <v>162</v>
      </c>
      <c r="Q7" s="4" t="s">
        <v>6</v>
      </c>
      <c r="R7" s="4" t="s">
        <v>7</v>
      </c>
      <c r="S7" s="4" t="s">
        <v>8</v>
      </c>
      <c r="T7" s="4" t="s">
        <v>9</v>
      </c>
      <c r="U7" s="4" t="s">
        <v>2</v>
      </c>
      <c r="V7" s="4" t="s">
        <v>3</v>
      </c>
      <c r="W7" s="4" t="s">
        <v>4</v>
      </c>
      <c r="X7" s="4" t="s">
        <v>5</v>
      </c>
      <c r="Y7" s="4" t="s">
        <v>24</v>
      </c>
      <c r="Z7" s="4" t="s">
        <v>25</v>
      </c>
      <c r="AA7" s="4" t="s">
        <v>61</v>
      </c>
      <c r="AB7" s="3"/>
      <c r="AC7" s="4" t="str">
        <f>T7</f>
        <v>4Q23</v>
      </c>
      <c r="AD7" s="4" t="str">
        <f>U7</f>
        <v>1Q24</v>
      </c>
      <c r="AE7" s="4" t="str">
        <f>V7</f>
        <v>2Q24</v>
      </c>
      <c r="AF7" s="4" t="str">
        <f>W7</f>
        <v>3Q24</v>
      </c>
      <c r="AG7" s="4" t="str">
        <f>X7</f>
        <v>4Q24</v>
      </c>
      <c r="AH7" s="4" t="str">
        <f>Y7</f>
        <v>1Q25</v>
      </c>
      <c r="AI7" s="4" t="str">
        <f>Z7</f>
        <v>2Q25</v>
      </c>
      <c r="AJ7" s="4" t="str">
        <f>AA7</f>
        <v>3Q25</v>
      </c>
      <c r="AK7" s="38"/>
      <c r="AL7" s="162"/>
    </row>
    <row r="8" spans="1:38" ht="12.75" customHeight="1">
      <c r="B8" s="6" t="s">
        <v>76</v>
      </c>
      <c r="C8" s="3"/>
      <c r="D8" s="3"/>
      <c r="E8" s="3"/>
      <c r="F8" s="85"/>
      <c r="G8" s="85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>
        <f>F8</f>
        <v>0</v>
      </c>
      <c r="U8" s="3"/>
      <c r="V8" s="3"/>
      <c r="W8" s="3"/>
      <c r="X8" s="3">
        <f>G8</f>
        <v>0</v>
      </c>
      <c r="Y8" s="3"/>
      <c r="Z8" s="3"/>
      <c r="AA8" s="3"/>
      <c r="AB8" s="3"/>
      <c r="AC8" s="3">
        <f>T8</f>
        <v>0</v>
      </c>
      <c r="AD8" s="3">
        <f>U8</f>
        <v>0</v>
      </c>
      <c r="AE8" s="3">
        <f>V8</f>
        <v>0</v>
      </c>
      <c r="AF8" s="3">
        <f>W8</f>
        <v>0</v>
      </c>
      <c r="AG8" s="3">
        <f>X8</f>
        <v>0</v>
      </c>
      <c r="AH8" s="3">
        <f>Y8</f>
        <v>0</v>
      </c>
      <c r="AI8" s="3">
        <f>Z8</f>
        <v>0</v>
      </c>
      <c r="AJ8" s="3">
        <f>AA8</f>
        <v>0</v>
      </c>
      <c r="AK8" s="38"/>
      <c r="AL8" s="162"/>
    </row>
    <row r="9" spans="1:38" ht="5.0999999999999996" customHeight="1">
      <c r="AL9" s="100"/>
    </row>
    <row r="10" spans="1:38" ht="12.75" customHeight="1">
      <c r="B10" s="9" t="s">
        <v>56</v>
      </c>
      <c r="C10" s="95">
        <v>9913</v>
      </c>
      <c r="D10" s="95">
        <v>11888</v>
      </c>
      <c r="E10" s="95">
        <v>12682</v>
      </c>
      <c r="F10" s="95">
        <v>14240</v>
      </c>
      <c r="G10" s="95">
        <v>16747</v>
      </c>
      <c r="H10" s="11"/>
      <c r="I10" s="95">
        <v>2752</v>
      </c>
      <c r="J10" s="95">
        <v>3077</v>
      </c>
      <c r="K10" s="95">
        <v>2932</v>
      </c>
      <c r="L10" s="24">
        <v>3127</v>
      </c>
      <c r="M10" s="95">
        <v>3026</v>
      </c>
      <c r="N10" s="95">
        <v>3244</v>
      </c>
      <c r="O10" s="95">
        <v>3170</v>
      </c>
      <c r="P10" s="24">
        <v>3242</v>
      </c>
      <c r="Q10" s="95">
        <v>3389</v>
      </c>
      <c r="R10" s="95">
        <v>3599</v>
      </c>
      <c r="S10" s="95">
        <v>3527</v>
      </c>
      <c r="T10" s="32">
        <v>3725</v>
      </c>
      <c r="U10" s="95">
        <v>3857</v>
      </c>
      <c r="V10" s="95">
        <v>4120</v>
      </c>
      <c r="W10" s="95">
        <v>4209</v>
      </c>
      <c r="X10" s="32">
        <v>4561</v>
      </c>
      <c r="Y10" s="82">
        <v>4663</v>
      </c>
      <c r="Z10" s="82">
        <v>5061</v>
      </c>
      <c r="AA10" s="81">
        <v>5065</v>
      </c>
      <c r="AC10" s="32">
        <f t="shared" ref="AC10:AI10" si="0">SUM(Q10:T10)</f>
        <v>14240</v>
      </c>
      <c r="AD10" s="32">
        <f t="shared" si="0"/>
        <v>14708</v>
      </c>
      <c r="AE10" s="32">
        <f t="shared" si="0"/>
        <v>15229</v>
      </c>
      <c r="AF10" s="32">
        <f t="shared" si="0"/>
        <v>15911</v>
      </c>
      <c r="AG10" s="32">
        <f t="shared" si="0"/>
        <v>16747</v>
      </c>
      <c r="AH10" s="32">
        <f t="shared" si="0"/>
        <v>17553</v>
      </c>
      <c r="AI10" s="32">
        <f t="shared" si="0"/>
        <v>18494</v>
      </c>
      <c r="AJ10" s="32">
        <f>SUM(X10:AA10)</f>
        <v>19350</v>
      </c>
      <c r="AK10" s="40"/>
      <c r="AL10" s="12">
        <f>SUM(AJ10/AF10)-1</f>
        <v>0.21613977751241276</v>
      </c>
    </row>
    <row r="11" spans="1:38" ht="12.75" customHeight="1">
      <c r="B11" s="13" t="s">
        <v>12</v>
      </c>
      <c r="C11" s="14">
        <f t="shared" ref="C11:D11" si="1">+SUM(C10:C10)</f>
        <v>9913</v>
      </c>
      <c r="D11" s="14">
        <f t="shared" si="1"/>
        <v>11888</v>
      </c>
      <c r="E11" s="14">
        <f t="shared" ref="E11:G11" si="2">+SUM(E10:E10)</f>
        <v>12682</v>
      </c>
      <c r="F11" s="14">
        <f t="shared" si="2"/>
        <v>14240</v>
      </c>
      <c r="G11" s="14">
        <f t="shared" si="2"/>
        <v>16747</v>
      </c>
      <c r="H11" s="11"/>
      <c r="I11" s="14">
        <f t="shared" ref="I11:O11" si="3">+SUM(I10:I10)</f>
        <v>2752</v>
      </c>
      <c r="J11" s="14">
        <f t="shared" ref="J11:L11" si="4">+SUM(J10:J10)</f>
        <v>3077</v>
      </c>
      <c r="K11" s="14">
        <f t="shared" si="4"/>
        <v>2932</v>
      </c>
      <c r="L11" s="14">
        <f t="shared" si="4"/>
        <v>3127</v>
      </c>
      <c r="M11" s="14">
        <f t="shared" si="3"/>
        <v>3026</v>
      </c>
      <c r="N11" s="14">
        <f t="shared" si="3"/>
        <v>3244</v>
      </c>
      <c r="O11" s="14">
        <f t="shared" si="3"/>
        <v>3170</v>
      </c>
      <c r="P11" s="14">
        <f t="shared" ref="P11" si="5">+SUM(P10:P10)</f>
        <v>3242</v>
      </c>
      <c r="Q11" s="14">
        <f t="shared" ref="Q11:Z11" si="6">+SUM(Q10:Q10)</f>
        <v>3389</v>
      </c>
      <c r="R11" s="14">
        <f t="shared" si="6"/>
        <v>3599</v>
      </c>
      <c r="S11" s="14">
        <f t="shared" si="6"/>
        <v>3527</v>
      </c>
      <c r="T11" s="14">
        <f t="shared" si="6"/>
        <v>3725</v>
      </c>
      <c r="U11" s="14">
        <f t="shared" si="6"/>
        <v>3857</v>
      </c>
      <c r="V11" s="14">
        <f t="shared" si="6"/>
        <v>4120</v>
      </c>
      <c r="W11" s="14">
        <f t="shared" si="6"/>
        <v>4209</v>
      </c>
      <c r="X11" s="14">
        <f t="shared" si="6"/>
        <v>4561</v>
      </c>
      <c r="Y11" s="14">
        <f t="shared" si="6"/>
        <v>4663</v>
      </c>
      <c r="Z11" s="14">
        <f t="shared" si="6"/>
        <v>5061</v>
      </c>
      <c r="AA11" s="14">
        <f>+SUM(AA10:AA10)</f>
        <v>5065</v>
      </c>
      <c r="AC11" s="14">
        <f t="shared" ref="AC11:AI11" si="7">+SUM(AC10:AC10)</f>
        <v>14240</v>
      </c>
      <c r="AD11" s="14">
        <f t="shared" si="7"/>
        <v>14708</v>
      </c>
      <c r="AE11" s="14">
        <f t="shared" si="7"/>
        <v>15229</v>
      </c>
      <c r="AF11" s="14">
        <f t="shared" si="7"/>
        <v>15911</v>
      </c>
      <c r="AG11" s="14">
        <f t="shared" si="7"/>
        <v>16747</v>
      </c>
      <c r="AH11" s="14">
        <f t="shared" si="7"/>
        <v>17553</v>
      </c>
      <c r="AI11" s="14">
        <f t="shared" si="7"/>
        <v>18494</v>
      </c>
      <c r="AJ11" s="14">
        <f>+SUM(AJ10:AJ10)</f>
        <v>19350</v>
      </c>
      <c r="AK11" s="40"/>
      <c r="AL11" s="15">
        <f>SUM(AJ11/AF11)-1</f>
        <v>0.21613977751241276</v>
      </c>
    </row>
    <row r="12" spans="1:38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2"/>
      <c r="Z12" s="21"/>
      <c r="AA12" s="21"/>
      <c r="AL12" s="75"/>
    </row>
    <row r="13" spans="1:38" s="20" customFormat="1">
      <c r="B13" s="9" t="s">
        <v>166</v>
      </c>
      <c r="C13" s="82">
        <v>-3465</v>
      </c>
      <c r="D13" s="82">
        <v>-3711</v>
      </c>
      <c r="E13" s="82">
        <v>-3956</v>
      </c>
      <c r="F13" s="82">
        <v>-4345</v>
      </c>
      <c r="G13" s="82">
        <v>-5257</v>
      </c>
      <c r="H13" s="32"/>
      <c r="I13" s="82">
        <v>-894</v>
      </c>
      <c r="J13" s="82">
        <v>-945</v>
      </c>
      <c r="K13" s="82">
        <v>-900</v>
      </c>
      <c r="L13" s="82">
        <v>-972</v>
      </c>
      <c r="M13" s="82">
        <v>-955</v>
      </c>
      <c r="N13" s="82">
        <v>-1011</v>
      </c>
      <c r="O13" s="82">
        <v>-979</v>
      </c>
      <c r="P13" s="82">
        <v>-1011</v>
      </c>
      <c r="Q13" s="82">
        <v>-1040</v>
      </c>
      <c r="R13" s="82">
        <v>-1058</v>
      </c>
      <c r="S13" s="82">
        <v>-1101</v>
      </c>
      <c r="T13" s="82">
        <v>-1146</v>
      </c>
      <c r="U13" s="82">
        <v>-1209</v>
      </c>
      <c r="V13" s="82">
        <v>-1270</v>
      </c>
      <c r="W13" s="82">
        <v>-1312</v>
      </c>
      <c r="X13" s="82">
        <v>-1466</v>
      </c>
      <c r="Y13" s="82">
        <v>-1453</v>
      </c>
      <c r="Z13" s="82">
        <v>-1637</v>
      </c>
      <c r="AA13" s="82">
        <v>-1523</v>
      </c>
      <c r="AB13" s="5"/>
      <c r="AC13" s="32">
        <f t="shared" ref="AC13:AI13" si="8">SUM(Q13:T13)</f>
        <v>-4345</v>
      </c>
      <c r="AD13" s="32">
        <f t="shared" si="8"/>
        <v>-4514</v>
      </c>
      <c r="AE13" s="32">
        <f t="shared" si="8"/>
        <v>-4726</v>
      </c>
      <c r="AF13" s="32">
        <f t="shared" si="8"/>
        <v>-4937</v>
      </c>
      <c r="AG13" s="32">
        <f t="shared" si="8"/>
        <v>-5257</v>
      </c>
      <c r="AH13" s="32">
        <f t="shared" si="8"/>
        <v>-5501</v>
      </c>
      <c r="AI13" s="32">
        <f t="shared" si="8"/>
        <v>-5868</v>
      </c>
      <c r="AJ13" s="32">
        <f>SUM(X13:AA13)</f>
        <v>-6079</v>
      </c>
      <c r="AK13" s="11"/>
      <c r="AL13" s="75">
        <f t="shared" ref="AL13" si="9">SUM(AJ13/AF13)-1</f>
        <v>0.23131456350010127</v>
      </c>
    </row>
    <row r="14" spans="1:38" s="20" customFormat="1">
      <c r="B14" s="25" t="s">
        <v>20</v>
      </c>
      <c r="C14" s="26">
        <f t="shared" ref="C14" si="10">SUM(C11+C13)</f>
        <v>6448</v>
      </c>
      <c r="D14" s="26">
        <f t="shared" ref="D14" si="11">SUM(D11+D13)</f>
        <v>8177</v>
      </c>
      <c r="E14" s="26">
        <f t="shared" ref="E14:G14" si="12">SUM(E11+E13)</f>
        <v>8726</v>
      </c>
      <c r="F14" s="26">
        <f t="shared" si="12"/>
        <v>9895</v>
      </c>
      <c r="G14" s="26">
        <f t="shared" si="12"/>
        <v>11490</v>
      </c>
      <c r="H14" s="32"/>
      <c r="I14" s="26">
        <f t="shared" ref="I14" si="13">SUM(I11+I13)</f>
        <v>1858</v>
      </c>
      <c r="J14" s="26">
        <f t="shared" ref="J14" si="14">SUM(J11+J13)</f>
        <v>2132</v>
      </c>
      <c r="K14" s="26">
        <f t="shared" ref="K14" si="15">SUM(K11+K13)</f>
        <v>2032</v>
      </c>
      <c r="L14" s="26">
        <f t="shared" ref="L14" si="16">SUM(L11+L13)</f>
        <v>2155</v>
      </c>
      <c r="M14" s="26">
        <f t="shared" ref="M14" si="17">SUM(M11+M13)</f>
        <v>2071</v>
      </c>
      <c r="N14" s="26">
        <f t="shared" ref="N14" si="18">SUM(N11+N13)</f>
        <v>2233</v>
      </c>
      <c r="O14" s="26">
        <f t="shared" ref="O14" si="19">SUM(O11+O13)</f>
        <v>2191</v>
      </c>
      <c r="P14" s="26">
        <f t="shared" ref="P14" si="20">SUM(P11+P13)</f>
        <v>2231</v>
      </c>
      <c r="Q14" s="26">
        <f t="shared" ref="Q14" si="21">SUM(Q11+Q13)</f>
        <v>2349</v>
      </c>
      <c r="R14" s="26">
        <f t="shared" ref="R14" si="22">SUM(R11+R13)</f>
        <v>2541</v>
      </c>
      <c r="S14" s="26">
        <f t="shared" ref="S14" si="23">SUM(S11+S13)</f>
        <v>2426</v>
      </c>
      <c r="T14" s="26">
        <f t="shared" ref="T14" si="24">SUM(T11+T13)</f>
        <v>2579</v>
      </c>
      <c r="U14" s="26">
        <f t="shared" ref="U14" si="25">SUM(U11+U13)</f>
        <v>2648</v>
      </c>
      <c r="V14" s="26">
        <f t="shared" ref="V14" si="26">SUM(V11+V13)</f>
        <v>2850</v>
      </c>
      <c r="W14" s="26">
        <f t="shared" ref="W14" si="27">SUM(W11+W13)</f>
        <v>2897</v>
      </c>
      <c r="X14" s="26">
        <f t="shared" ref="X14" si="28">SUM(X11+X13)</f>
        <v>3095</v>
      </c>
      <c r="Y14" s="26">
        <f t="shared" ref="Y14" si="29">SUM(Y11+Y13)</f>
        <v>3210</v>
      </c>
      <c r="Z14" s="26">
        <f t="shared" ref="Z14" si="30">SUM(Z11+Z13)</f>
        <v>3424</v>
      </c>
      <c r="AA14" s="26">
        <f t="shared" ref="AA14" si="31">SUM(AA11+AA13)</f>
        <v>3542</v>
      </c>
      <c r="AB14" s="5"/>
      <c r="AC14" s="26">
        <f t="shared" ref="AC14" si="32">SUM(AC11+AC13)</f>
        <v>9895</v>
      </c>
      <c r="AD14" s="26">
        <f t="shared" ref="AD14" si="33">SUM(AD11+AD13)</f>
        <v>10194</v>
      </c>
      <c r="AE14" s="26">
        <f t="shared" ref="AE14" si="34">SUM(AE11+AE13)</f>
        <v>10503</v>
      </c>
      <c r="AF14" s="26">
        <f t="shared" ref="AF14" si="35">SUM(AF11+AF13)</f>
        <v>10974</v>
      </c>
      <c r="AG14" s="26">
        <f t="shared" ref="AG14" si="36">SUM(AG11+AG13)</f>
        <v>11490</v>
      </c>
      <c r="AH14" s="26">
        <f t="shared" ref="AH14" si="37">SUM(AH11+AH13)</f>
        <v>12052</v>
      </c>
      <c r="AI14" s="26">
        <f t="shared" ref="AI14" si="38">SUM(AI11+AI13)</f>
        <v>12626</v>
      </c>
      <c r="AJ14" s="26">
        <f t="shared" ref="AJ14" si="39">SUM(AJ11+AJ13)</f>
        <v>13271</v>
      </c>
      <c r="AK14" s="11"/>
      <c r="AL14" s="76">
        <f>SUM(AJ14/AF14)-1</f>
        <v>0.20931292145070168</v>
      </c>
    </row>
    <row r="15" spans="1:38" s="20" customFormat="1">
      <c r="B15" s="16" t="s">
        <v>29</v>
      </c>
      <c r="C15" s="17">
        <f t="shared" ref="C15" si="40">C14/C11</f>
        <v>0.65045899324119838</v>
      </c>
      <c r="D15" s="17">
        <f t="shared" ref="D15" si="41">D14/D11</f>
        <v>0.68783647375504708</v>
      </c>
      <c r="E15" s="17">
        <f t="shared" ref="E15:G15" si="42">E14/E11</f>
        <v>0.68806181990222359</v>
      </c>
      <c r="F15" s="17">
        <f t="shared" si="42"/>
        <v>0.694873595505618</v>
      </c>
      <c r="G15" s="17">
        <f t="shared" si="42"/>
        <v>0.68609303158774704</v>
      </c>
      <c r="H15" s="32"/>
      <c r="I15" s="17">
        <f t="shared" ref="I15" si="43">I14/I11</f>
        <v>0.67514534883720934</v>
      </c>
      <c r="J15" s="17">
        <f t="shared" ref="J15" si="44">J14/J11</f>
        <v>0.69288267793305169</v>
      </c>
      <c r="K15" s="17">
        <f t="shared" ref="K15" si="45">K14/K11</f>
        <v>0.69304229195088674</v>
      </c>
      <c r="L15" s="17">
        <f t="shared" ref="L15" si="46">L14/L11</f>
        <v>0.68915893827950114</v>
      </c>
      <c r="M15" s="17">
        <f t="shared" ref="M15" si="47">M14/M11</f>
        <v>0.68440185062789161</v>
      </c>
      <c r="N15" s="17">
        <f t="shared" ref="N15" si="48">N14/N11</f>
        <v>0.68834771886559798</v>
      </c>
      <c r="O15" s="17">
        <f t="shared" ref="O15" si="49">O14/O11</f>
        <v>0.69116719242902214</v>
      </c>
      <c r="P15" s="17">
        <f t="shared" ref="P15" si="50">P14/P11</f>
        <v>0.68815545959284397</v>
      </c>
      <c r="Q15" s="17">
        <f t="shared" ref="Q15" si="51">Q14/Q11</f>
        <v>0.69312481557981709</v>
      </c>
      <c r="R15" s="17">
        <f t="shared" ref="R15" si="52">R14/R11</f>
        <v>0.70602945262572936</v>
      </c>
      <c r="S15" s="17">
        <f t="shared" ref="S15" si="53">S14/S11</f>
        <v>0.68783668840374257</v>
      </c>
      <c r="T15" s="17">
        <f t="shared" ref="T15" si="54">T14/T11</f>
        <v>0.69234899328859056</v>
      </c>
      <c r="U15" s="17">
        <f t="shared" ref="U15" si="55">U14/U11</f>
        <v>0.68654394607207669</v>
      </c>
      <c r="V15" s="17">
        <f t="shared" ref="V15" si="56">V14/V11</f>
        <v>0.69174757281553401</v>
      </c>
      <c r="W15" s="17">
        <f t="shared" ref="W15" si="57">W14/W11</f>
        <v>0.68828700403896415</v>
      </c>
      <c r="X15" s="17">
        <f t="shared" ref="X15" si="58">X14/X11</f>
        <v>0.67857925893444415</v>
      </c>
      <c r="Y15" s="17">
        <f t="shared" ref="Y15" si="59">Y14/Y11</f>
        <v>0.68839802702123098</v>
      </c>
      <c r="Z15" s="17">
        <f t="shared" ref="Z15" si="60">Z14/Z11</f>
        <v>0.67654613712705003</v>
      </c>
      <c r="AA15" s="17">
        <f t="shared" ref="AA15" si="61">AA14/AA11</f>
        <v>0.69930898321816382</v>
      </c>
      <c r="AB15" s="5"/>
      <c r="AC15" s="17">
        <f t="shared" ref="AC15" si="62">AC14/AC11</f>
        <v>0.694873595505618</v>
      </c>
      <c r="AD15" s="17">
        <f t="shared" ref="AD15" si="63">AD14/AD11</f>
        <v>0.69309219472395978</v>
      </c>
      <c r="AE15" s="17">
        <f t="shared" ref="AE15" si="64">AE14/AE11</f>
        <v>0.68967102239148992</v>
      </c>
      <c r="AF15" s="17">
        <f t="shared" ref="AF15" si="65">AF14/AF11</f>
        <v>0.68971152033184591</v>
      </c>
      <c r="AG15" s="17">
        <f t="shared" ref="AG15" si="66">AG14/AG11</f>
        <v>0.68609303158774704</v>
      </c>
      <c r="AH15" s="17">
        <f t="shared" ref="AH15" si="67">AH14/AH11</f>
        <v>0.68660627812909469</v>
      </c>
      <c r="AI15" s="17">
        <f t="shared" ref="AI15" si="68">AI14/AI11</f>
        <v>0.68270790526657299</v>
      </c>
      <c r="AJ15" s="17">
        <f t="shared" ref="AJ15" si="69">AJ14/AJ11</f>
        <v>0.68583979328165379</v>
      </c>
      <c r="AK15" s="11"/>
      <c r="AL15" s="77">
        <f>SUM(AJ15-AF15)*1000</f>
        <v>-3.8717270501921197</v>
      </c>
    </row>
    <row r="16" spans="1:38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2"/>
      <c r="Z16" s="21"/>
      <c r="AA16" s="21"/>
      <c r="AL16" s="75"/>
    </row>
    <row r="17" spans="2:38" ht="12.75" customHeight="1">
      <c r="B17" s="9" t="s">
        <v>195</v>
      </c>
      <c r="C17" s="82">
        <v>-3787</v>
      </c>
      <c r="D17" s="82">
        <v>-4359</v>
      </c>
      <c r="E17" s="82">
        <v>-4520</v>
      </c>
      <c r="F17" s="82">
        <v>-5190</v>
      </c>
      <c r="G17" s="82">
        <v>-5984</v>
      </c>
      <c r="H17" s="32"/>
      <c r="I17" s="82">
        <v>-1019</v>
      </c>
      <c r="J17" s="82">
        <v>-1121</v>
      </c>
      <c r="K17" s="82">
        <v>-1066</v>
      </c>
      <c r="L17" s="82">
        <v>-1153</v>
      </c>
      <c r="M17" s="82">
        <v>-1060</v>
      </c>
      <c r="N17" s="82">
        <v>-1165</v>
      </c>
      <c r="O17" s="82">
        <v>-1132</v>
      </c>
      <c r="P17" s="82">
        <v>-1163</v>
      </c>
      <c r="Q17" s="82">
        <v>-1215</v>
      </c>
      <c r="R17" s="82">
        <v>-1354</v>
      </c>
      <c r="S17" s="82">
        <v>-1242</v>
      </c>
      <c r="T17" s="82">
        <v>-1379</v>
      </c>
      <c r="U17" s="82">
        <v>-1364</v>
      </c>
      <c r="V17" s="82">
        <v>-1446</v>
      </c>
      <c r="W17" s="82">
        <v>-1562</v>
      </c>
      <c r="X17" s="82">
        <v>-1612</v>
      </c>
      <c r="Y17" s="82">
        <v>-1597</v>
      </c>
      <c r="Z17" s="82">
        <v>-1716</v>
      </c>
      <c r="AA17" s="82">
        <v>-1741</v>
      </c>
      <c r="AC17" s="32">
        <f t="shared" ref="AC17:AC25" si="70">SUM(Q17:T17)</f>
        <v>-5190</v>
      </c>
      <c r="AD17" s="32">
        <f t="shared" ref="AD17:AD25" si="71">SUM(R17:U17)</f>
        <v>-5339</v>
      </c>
      <c r="AE17" s="32">
        <f t="shared" ref="AE17:AE25" si="72">SUM(S17:V17)</f>
        <v>-5431</v>
      </c>
      <c r="AF17" s="32">
        <f t="shared" ref="AF17:AF25" si="73">SUM(T17:W17)</f>
        <v>-5751</v>
      </c>
      <c r="AG17" s="32">
        <f t="shared" ref="AG17:AG25" si="74">SUM(U17:X17)</f>
        <v>-5984</v>
      </c>
      <c r="AH17" s="32">
        <f t="shared" ref="AH17:AH25" si="75">SUM(V17:Y17)</f>
        <v>-6217</v>
      </c>
      <c r="AI17" s="32">
        <f t="shared" ref="AI17:AI25" si="76">SUM(W17:Z17)</f>
        <v>-6487</v>
      </c>
      <c r="AJ17" s="32">
        <f t="shared" ref="AJ17:AJ25" si="77">SUM(X17:AA17)</f>
        <v>-6666</v>
      </c>
      <c r="AK17" s="11"/>
      <c r="AL17" s="75">
        <f>SUM(AJ17/AF17)-1</f>
        <v>0.15910276473656748</v>
      </c>
    </row>
    <row r="18" spans="2:38" ht="12.75" customHeight="1">
      <c r="B18" s="9" t="s">
        <v>196</v>
      </c>
      <c r="C18" s="82">
        <v>-1143</v>
      </c>
      <c r="D18" s="82">
        <v>-1204</v>
      </c>
      <c r="E18" s="82">
        <v>-1323</v>
      </c>
      <c r="F18" s="82">
        <v>-1414</v>
      </c>
      <c r="G18" s="82">
        <v>-1615</v>
      </c>
      <c r="H18" s="32"/>
      <c r="I18" s="82">
        <v>-276</v>
      </c>
      <c r="J18" s="82">
        <v>-298</v>
      </c>
      <c r="K18" s="82">
        <v>-310</v>
      </c>
      <c r="L18" s="82">
        <v>-320</v>
      </c>
      <c r="M18" s="82">
        <v>-319</v>
      </c>
      <c r="N18" s="82">
        <v>-335</v>
      </c>
      <c r="O18" s="82">
        <v>-339</v>
      </c>
      <c r="P18" s="82">
        <v>-330</v>
      </c>
      <c r="Q18" s="82">
        <v>-337</v>
      </c>
      <c r="R18" s="82">
        <v>-359</v>
      </c>
      <c r="S18" s="82">
        <v>-356</v>
      </c>
      <c r="T18" s="82">
        <v>-362</v>
      </c>
      <c r="U18" s="82">
        <v>-366</v>
      </c>
      <c r="V18" s="82">
        <v>-383</v>
      </c>
      <c r="W18" s="82">
        <v>-407</v>
      </c>
      <c r="X18" s="82">
        <v>-459</v>
      </c>
      <c r="Y18" s="82">
        <v>-443</v>
      </c>
      <c r="Z18" s="82">
        <v>-526</v>
      </c>
      <c r="AA18" s="82">
        <v>-514</v>
      </c>
      <c r="AC18" s="32">
        <f t="shared" si="70"/>
        <v>-1414</v>
      </c>
      <c r="AD18" s="32">
        <f t="shared" si="71"/>
        <v>-1443</v>
      </c>
      <c r="AE18" s="32">
        <f t="shared" si="72"/>
        <v>-1467</v>
      </c>
      <c r="AF18" s="32">
        <f t="shared" si="73"/>
        <v>-1518</v>
      </c>
      <c r="AG18" s="32">
        <f t="shared" si="74"/>
        <v>-1615</v>
      </c>
      <c r="AH18" s="32">
        <f t="shared" si="75"/>
        <v>-1692</v>
      </c>
      <c r="AI18" s="32">
        <f t="shared" si="76"/>
        <v>-1835</v>
      </c>
      <c r="AJ18" s="32">
        <f t="shared" si="77"/>
        <v>-1942</v>
      </c>
      <c r="AK18" s="11"/>
      <c r="AL18" s="75">
        <f t="shared" ref="AL18:AL23" si="78">SUM(AJ18/AF18)-1</f>
        <v>0.27931488801054027</v>
      </c>
    </row>
    <row r="19" spans="2:38" ht="12.75" customHeight="1">
      <c r="B19" s="9" t="s">
        <v>197</v>
      </c>
      <c r="C19" s="82">
        <v>-45</v>
      </c>
      <c r="D19" s="82">
        <v>-49</v>
      </c>
      <c r="E19" s="82">
        <v>-47</v>
      </c>
      <c r="F19" s="82">
        <v>-46</v>
      </c>
      <c r="G19" s="82">
        <v>-33</v>
      </c>
      <c r="H19" s="32"/>
      <c r="I19" s="82">
        <v>-12</v>
      </c>
      <c r="J19" s="82">
        <v>-12</v>
      </c>
      <c r="K19" s="82">
        <v>-14</v>
      </c>
      <c r="L19" s="82">
        <v>-11</v>
      </c>
      <c r="M19" s="82">
        <v>-12</v>
      </c>
      <c r="N19" s="82">
        <v>-11</v>
      </c>
      <c r="O19" s="82">
        <v>-11</v>
      </c>
      <c r="P19" s="82">
        <v>-13</v>
      </c>
      <c r="Q19" s="82">
        <v>-11</v>
      </c>
      <c r="R19" s="82">
        <v>-12</v>
      </c>
      <c r="S19" s="82">
        <v>-11</v>
      </c>
      <c r="T19" s="82">
        <v>-12</v>
      </c>
      <c r="U19" s="82">
        <v>-10</v>
      </c>
      <c r="V19" s="82">
        <v>-9</v>
      </c>
      <c r="W19" s="82">
        <v>-5</v>
      </c>
      <c r="X19" s="82">
        <v>-9</v>
      </c>
      <c r="Y19" s="82">
        <v>-14</v>
      </c>
      <c r="Z19" s="82">
        <v>-14</v>
      </c>
      <c r="AA19" s="82">
        <v>-12</v>
      </c>
      <c r="AC19" s="32">
        <f t="shared" si="70"/>
        <v>-46</v>
      </c>
      <c r="AD19" s="32">
        <f t="shared" si="71"/>
        <v>-45</v>
      </c>
      <c r="AE19" s="32">
        <f t="shared" si="72"/>
        <v>-42</v>
      </c>
      <c r="AF19" s="32">
        <f t="shared" si="73"/>
        <v>-36</v>
      </c>
      <c r="AG19" s="32">
        <f t="shared" si="74"/>
        <v>-33</v>
      </c>
      <c r="AH19" s="32">
        <f t="shared" si="75"/>
        <v>-37</v>
      </c>
      <c r="AI19" s="32">
        <f t="shared" si="76"/>
        <v>-42</v>
      </c>
      <c r="AJ19" s="32">
        <f t="shared" si="77"/>
        <v>-49</v>
      </c>
      <c r="AK19" s="11"/>
      <c r="AL19" s="75">
        <f t="shared" si="78"/>
        <v>0.36111111111111116</v>
      </c>
    </row>
    <row r="20" spans="2:38" ht="12.75" customHeight="1">
      <c r="B20" s="9" t="s">
        <v>198</v>
      </c>
      <c r="C20" s="82">
        <v>-789</v>
      </c>
      <c r="D20" s="82">
        <v>-741</v>
      </c>
      <c r="E20" s="82">
        <v>-803</v>
      </c>
      <c r="F20" s="82">
        <v>-828</v>
      </c>
      <c r="G20" s="82">
        <v>-856</v>
      </c>
      <c r="H20" s="32"/>
      <c r="I20" s="82">
        <v>-185</v>
      </c>
      <c r="J20" s="82">
        <v>-180</v>
      </c>
      <c r="K20" s="82">
        <v>-184</v>
      </c>
      <c r="L20" s="82">
        <v>-192</v>
      </c>
      <c r="M20" s="82">
        <v>-198</v>
      </c>
      <c r="N20" s="82">
        <v>-204</v>
      </c>
      <c r="O20" s="82">
        <v>-202</v>
      </c>
      <c r="P20" s="82">
        <v>-199</v>
      </c>
      <c r="Q20" s="82">
        <v>-203</v>
      </c>
      <c r="R20" s="82">
        <v>-210</v>
      </c>
      <c r="S20" s="82">
        <v>-208</v>
      </c>
      <c r="T20" s="82">
        <v>-207</v>
      </c>
      <c r="U20" s="82">
        <v>-214</v>
      </c>
      <c r="V20" s="82">
        <v>-213</v>
      </c>
      <c r="W20" s="82">
        <v>-205</v>
      </c>
      <c r="X20" s="82">
        <v>-224</v>
      </c>
      <c r="Y20" s="82">
        <v>-219</v>
      </c>
      <c r="Z20" s="82">
        <v>-225</v>
      </c>
      <c r="AA20" s="82">
        <v>-225</v>
      </c>
      <c r="AC20" s="32">
        <f t="shared" si="70"/>
        <v>-828</v>
      </c>
      <c r="AD20" s="32">
        <f t="shared" si="71"/>
        <v>-839</v>
      </c>
      <c r="AE20" s="32">
        <f t="shared" si="72"/>
        <v>-842</v>
      </c>
      <c r="AF20" s="32">
        <f t="shared" si="73"/>
        <v>-839</v>
      </c>
      <c r="AG20" s="32">
        <f t="shared" si="74"/>
        <v>-856</v>
      </c>
      <c r="AH20" s="32">
        <f t="shared" si="75"/>
        <v>-861</v>
      </c>
      <c r="AI20" s="32">
        <f t="shared" si="76"/>
        <v>-873</v>
      </c>
      <c r="AJ20" s="32">
        <f t="shared" si="77"/>
        <v>-893</v>
      </c>
      <c r="AK20" s="11"/>
      <c r="AL20" s="75">
        <f t="shared" ref="AL20:AL21" si="79">SUM(AJ20/AF20)-1</f>
        <v>6.4362336114421881E-2</v>
      </c>
    </row>
    <row r="21" spans="2:38" ht="12.75" customHeight="1">
      <c r="B21" s="9" t="s">
        <v>199</v>
      </c>
      <c r="C21" s="82">
        <v>-460</v>
      </c>
      <c r="D21" s="82">
        <v>-370</v>
      </c>
      <c r="E21" s="82">
        <v>-132</v>
      </c>
      <c r="F21" s="82">
        <v>-58</v>
      </c>
      <c r="G21" s="82">
        <v>-386</v>
      </c>
      <c r="H21" s="32"/>
      <c r="I21" s="82">
        <v>6</v>
      </c>
      <c r="J21" s="82">
        <v>-45</v>
      </c>
      <c r="K21" s="82">
        <v>-128</v>
      </c>
      <c r="L21" s="82">
        <v>-203</v>
      </c>
      <c r="M21" s="82">
        <v>-12</v>
      </c>
      <c r="N21" s="82">
        <v>-7</v>
      </c>
      <c r="O21" s="82">
        <v>-125</v>
      </c>
      <c r="P21" s="82">
        <v>12</v>
      </c>
      <c r="Q21" s="82">
        <v>0</v>
      </c>
      <c r="R21" s="82">
        <v>-57</v>
      </c>
      <c r="S21" s="82">
        <v>-1</v>
      </c>
      <c r="T21" s="82">
        <v>0</v>
      </c>
      <c r="U21" s="82">
        <v>-17</v>
      </c>
      <c r="V21" s="82">
        <v>-276</v>
      </c>
      <c r="W21" s="82">
        <v>0</v>
      </c>
      <c r="X21" s="82">
        <v>-93</v>
      </c>
      <c r="Y21" s="82">
        <v>0</v>
      </c>
      <c r="Z21" s="82">
        <v>-46</v>
      </c>
      <c r="AA21" s="82">
        <v>0</v>
      </c>
      <c r="AC21" s="32">
        <f t="shared" si="70"/>
        <v>-58</v>
      </c>
      <c r="AD21" s="32">
        <f t="shared" si="71"/>
        <v>-75</v>
      </c>
      <c r="AE21" s="32">
        <f t="shared" si="72"/>
        <v>-294</v>
      </c>
      <c r="AF21" s="32">
        <f t="shared" si="73"/>
        <v>-293</v>
      </c>
      <c r="AG21" s="32">
        <f t="shared" si="74"/>
        <v>-386</v>
      </c>
      <c r="AH21" s="32">
        <f t="shared" si="75"/>
        <v>-369</v>
      </c>
      <c r="AI21" s="32">
        <f t="shared" si="76"/>
        <v>-139</v>
      </c>
      <c r="AJ21" s="32">
        <f t="shared" si="77"/>
        <v>-139</v>
      </c>
      <c r="AK21" s="11"/>
      <c r="AL21" s="75">
        <f t="shared" si="79"/>
        <v>-0.52559726962457343</v>
      </c>
    </row>
    <row r="22" spans="2:38" ht="12.75" customHeight="1">
      <c r="B22" s="9" t="s">
        <v>200</v>
      </c>
      <c r="C22" s="82">
        <v>100</v>
      </c>
      <c r="D22" s="82">
        <v>136</v>
      </c>
      <c r="E22" s="82">
        <v>-35</v>
      </c>
      <c r="F22" s="82">
        <v>-58</v>
      </c>
      <c r="G22" s="82">
        <v>5</v>
      </c>
      <c r="H22" s="32"/>
      <c r="I22" s="82">
        <v>-5</v>
      </c>
      <c r="J22" s="82">
        <v>85</v>
      </c>
      <c r="K22" s="82">
        <v>26</v>
      </c>
      <c r="L22" s="82">
        <v>30</v>
      </c>
      <c r="M22" s="82">
        <v>-4</v>
      </c>
      <c r="N22" s="82">
        <v>-36</v>
      </c>
      <c r="O22" s="82">
        <v>-20</v>
      </c>
      <c r="P22" s="82">
        <v>25</v>
      </c>
      <c r="Q22" s="82">
        <v>0</v>
      </c>
      <c r="R22" s="82">
        <v>-19</v>
      </c>
      <c r="S22" s="82">
        <v>-11</v>
      </c>
      <c r="T22" s="82">
        <v>-28</v>
      </c>
      <c r="U22" s="82">
        <v>0</v>
      </c>
      <c r="V22" s="82">
        <v>-2</v>
      </c>
      <c r="W22" s="82">
        <v>23</v>
      </c>
      <c r="X22" s="82">
        <v>-16</v>
      </c>
      <c r="Y22" s="82">
        <v>-6</v>
      </c>
      <c r="Z22" s="82">
        <v>5</v>
      </c>
      <c r="AA22" s="82">
        <v>-11</v>
      </c>
      <c r="AC22" s="32">
        <f t="shared" si="70"/>
        <v>-58</v>
      </c>
      <c r="AD22" s="32">
        <f t="shared" si="71"/>
        <v>-58</v>
      </c>
      <c r="AE22" s="32">
        <f t="shared" si="72"/>
        <v>-41</v>
      </c>
      <c r="AF22" s="32">
        <f t="shared" si="73"/>
        <v>-7</v>
      </c>
      <c r="AG22" s="32">
        <f t="shared" si="74"/>
        <v>5</v>
      </c>
      <c r="AH22" s="32">
        <f t="shared" si="75"/>
        <v>-1</v>
      </c>
      <c r="AI22" s="32">
        <f t="shared" si="76"/>
        <v>6</v>
      </c>
      <c r="AJ22" s="32">
        <f t="shared" si="77"/>
        <v>-28</v>
      </c>
      <c r="AK22" s="11"/>
      <c r="AL22" s="75">
        <f t="shared" si="78"/>
        <v>3</v>
      </c>
    </row>
    <row r="23" spans="2:38" ht="12.75" customHeight="1">
      <c r="B23" s="9" t="s">
        <v>201</v>
      </c>
      <c r="C23" s="82">
        <v>-52</v>
      </c>
      <c r="D23" s="82">
        <v>-40</v>
      </c>
      <c r="E23" s="82">
        <v>-24</v>
      </c>
      <c r="F23" s="82">
        <v>-69</v>
      </c>
      <c r="G23" s="82">
        <v>-16</v>
      </c>
      <c r="H23" s="32"/>
      <c r="I23" s="82">
        <v>-3</v>
      </c>
      <c r="J23" s="82">
        <v>-3</v>
      </c>
      <c r="K23" s="82">
        <v>-9</v>
      </c>
      <c r="L23" s="82">
        <v>-25</v>
      </c>
      <c r="M23" s="82">
        <v>0</v>
      </c>
      <c r="N23" s="82">
        <v>-10</v>
      </c>
      <c r="O23" s="82">
        <v>-4</v>
      </c>
      <c r="P23" s="82">
        <v>-10</v>
      </c>
      <c r="Q23" s="82">
        <v>-11</v>
      </c>
      <c r="R23" s="82">
        <v>-16</v>
      </c>
      <c r="S23" s="82">
        <v>-15</v>
      </c>
      <c r="T23" s="82">
        <v>-27</v>
      </c>
      <c r="U23" s="82">
        <v>-2</v>
      </c>
      <c r="V23" s="82">
        <v>-1</v>
      </c>
      <c r="W23" s="82">
        <v>-8</v>
      </c>
      <c r="X23" s="82">
        <v>-5</v>
      </c>
      <c r="Y23" s="82">
        <v>-10</v>
      </c>
      <c r="Z23" s="82">
        <v>-83</v>
      </c>
      <c r="AA23" s="82">
        <v>9</v>
      </c>
      <c r="AC23" s="32">
        <f t="shared" si="70"/>
        <v>-69</v>
      </c>
      <c r="AD23" s="32">
        <f t="shared" si="71"/>
        <v>-60</v>
      </c>
      <c r="AE23" s="32">
        <f t="shared" si="72"/>
        <v>-45</v>
      </c>
      <c r="AF23" s="32">
        <f t="shared" si="73"/>
        <v>-38</v>
      </c>
      <c r="AG23" s="32">
        <f t="shared" si="74"/>
        <v>-16</v>
      </c>
      <c r="AH23" s="32">
        <f t="shared" si="75"/>
        <v>-24</v>
      </c>
      <c r="AI23" s="32">
        <f t="shared" si="76"/>
        <v>-106</v>
      </c>
      <c r="AJ23" s="32">
        <f t="shared" si="77"/>
        <v>-89</v>
      </c>
      <c r="AK23" s="11"/>
      <c r="AL23" s="75">
        <f t="shared" si="78"/>
        <v>1.3421052631578947</v>
      </c>
    </row>
    <row r="24" spans="2:38" ht="12.75" customHeight="1">
      <c r="B24" s="9" t="s">
        <v>202</v>
      </c>
      <c r="C24" s="82">
        <v>-278</v>
      </c>
      <c r="D24" s="82">
        <v>-430</v>
      </c>
      <c r="E24" s="82">
        <v>-173</v>
      </c>
      <c r="F24" s="82">
        <v>111</v>
      </c>
      <c r="G24" s="82">
        <v>0</v>
      </c>
      <c r="H24" s="32"/>
      <c r="I24" s="82">
        <v>6</v>
      </c>
      <c r="J24" s="82">
        <v>-298</v>
      </c>
      <c r="K24" s="82">
        <v>0</v>
      </c>
      <c r="L24" s="82">
        <v>-138</v>
      </c>
      <c r="M24" s="82">
        <v>0</v>
      </c>
      <c r="N24" s="82">
        <v>-42</v>
      </c>
      <c r="O24" s="82">
        <v>0</v>
      </c>
      <c r="P24" s="82">
        <v>-131</v>
      </c>
      <c r="Q24" s="82">
        <v>-20</v>
      </c>
      <c r="R24" s="82">
        <v>0</v>
      </c>
      <c r="S24" s="82">
        <v>111</v>
      </c>
      <c r="T24" s="82">
        <v>20</v>
      </c>
      <c r="U24" s="82">
        <v>0</v>
      </c>
      <c r="V24" s="82">
        <v>0</v>
      </c>
      <c r="W24" s="82">
        <v>0</v>
      </c>
      <c r="X24" s="82">
        <v>0</v>
      </c>
      <c r="Y24" s="82">
        <v>0</v>
      </c>
      <c r="Z24" s="82">
        <v>0</v>
      </c>
      <c r="AA24" s="82">
        <v>0</v>
      </c>
      <c r="AC24" s="32">
        <f t="shared" si="70"/>
        <v>111</v>
      </c>
      <c r="AD24" s="32">
        <f t="shared" si="71"/>
        <v>131</v>
      </c>
      <c r="AE24" s="32">
        <f t="shared" si="72"/>
        <v>131</v>
      </c>
      <c r="AF24" s="32">
        <f t="shared" si="73"/>
        <v>20</v>
      </c>
      <c r="AG24" s="32">
        <f t="shared" si="74"/>
        <v>0</v>
      </c>
      <c r="AH24" s="32">
        <f t="shared" si="75"/>
        <v>0</v>
      </c>
      <c r="AI24" s="32">
        <f t="shared" si="76"/>
        <v>0</v>
      </c>
      <c r="AJ24" s="32">
        <f t="shared" si="77"/>
        <v>0</v>
      </c>
      <c r="AK24" s="11"/>
      <c r="AL24" s="75">
        <f t="shared" ref="AL24:AL25" si="80">SUM(AJ24/AF24)-1</f>
        <v>-1</v>
      </c>
    </row>
    <row r="25" spans="2:38" ht="12.75" customHeight="1">
      <c r="B25" s="9" t="s">
        <v>203</v>
      </c>
      <c r="C25" s="82">
        <v>-74</v>
      </c>
      <c r="D25" s="82">
        <v>78</v>
      </c>
      <c r="E25" s="82">
        <v>-22</v>
      </c>
      <c r="F25" s="82">
        <v>0</v>
      </c>
      <c r="G25" s="82">
        <v>0</v>
      </c>
      <c r="H25" s="32"/>
      <c r="I25" s="82">
        <v>0</v>
      </c>
      <c r="J25" s="82">
        <v>2</v>
      </c>
      <c r="K25" s="82">
        <v>40</v>
      </c>
      <c r="L25" s="82">
        <v>36</v>
      </c>
      <c r="M25" s="82">
        <v>0</v>
      </c>
      <c r="N25" s="82">
        <v>0</v>
      </c>
      <c r="O25" s="82">
        <v>0</v>
      </c>
      <c r="P25" s="82">
        <v>-22</v>
      </c>
      <c r="Q25" s="82">
        <v>0</v>
      </c>
      <c r="R25" s="82">
        <v>0</v>
      </c>
      <c r="S25" s="82">
        <v>0</v>
      </c>
      <c r="T25" s="82">
        <v>0</v>
      </c>
      <c r="U25" s="82">
        <v>0</v>
      </c>
      <c r="V25" s="82">
        <v>0</v>
      </c>
      <c r="W25" s="82">
        <v>0</v>
      </c>
      <c r="X25" s="82">
        <v>0</v>
      </c>
      <c r="Y25" s="82">
        <v>0</v>
      </c>
      <c r="Z25" s="82">
        <v>0</v>
      </c>
      <c r="AA25" s="82">
        <v>0</v>
      </c>
      <c r="AC25" s="32">
        <f t="shared" si="70"/>
        <v>0</v>
      </c>
      <c r="AD25" s="32">
        <f t="shared" si="71"/>
        <v>0</v>
      </c>
      <c r="AE25" s="32">
        <f t="shared" si="72"/>
        <v>0</v>
      </c>
      <c r="AF25" s="32">
        <f t="shared" si="73"/>
        <v>0</v>
      </c>
      <c r="AG25" s="32">
        <f t="shared" si="74"/>
        <v>0</v>
      </c>
      <c r="AH25" s="32">
        <f t="shared" si="75"/>
        <v>0</v>
      </c>
      <c r="AI25" s="32">
        <f t="shared" si="76"/>
        <v>0</v>
      </c>
      <c r="AJ25" s="32">
        <f t="shared" si="77"/>
        <v>0</v>
      </c>
      <c r="AK25" s="11"/>
      <c r="AL25" s="75" t="e">
        <f t="shared" si="80"/>
        <v>#DIV/0!</v>
      </c>
    </row>
    <row r="26" spans="2:38" ht="12.75" customHeight="1">
      <c r="B26" s="25" t="s">
        <v>77</v>
      </c>
      <c r="C26" s="26">
        <f t="shared" ref="C26" si="81">+SUM(C14+SUM(C17:C25))</f>
        <v>-80</v>
      </c>
      <c r="D26" s="26">
        <f t="shared" ref="D26" si="82">+SUM(D14+SUM(D17:D25))</f>
        <v>1198</v>
      </c>
      <c r="E26" s="26">
        <f t="shared" ref="E26:G26" si="83">+SUM(E14+SUM(E17:E25))</f>
        <v>1647</v>
      </c>
      <c r="F26" s="26">
        <f t="shared" si="83"/>
        <v>2343</v>
      </c>
      <c r="G26" s="26">
        <f t="shared" si="83"/>
        <v>2605</v>
      </c>
      <c r="H26" s="32"/>
      <c r="I26" s="26">
        <f t="shared" ref="I26" si="84">+SUM(I14+SUM(I17:I25))</f>
        <v>370</v>
      </c>
      <c r="J26" s="26">
        <f t="shared" ref="J26" si="85">+SUM(J14+SUM(J17:J25))</f>
        <v>262</v>
      </c>
      <c r="K26" s="26">
        <f t="shared" ref="K26" si="86">+SUM(K14+SUM(K17:K25))</f>
        <v>387</v>
      </c>
      <c r="L26" s="26">
        <f t="shared" ref="L26" si="87">+SUM(L14+SUM(L17:L25))</f>
        <v>179</v>
      </c>
      <c r="M26" s="26">
        <f t="shared" ref="M26" si="88">+SUM(M14+SUM(M17:M25))</f>
        <v>466</v>
      </c>
      <c r="N26" s="26">
        <f t="shared" ref="N26" si="89">+SUM(N14+SUM(N17:N25))</f>
        <v>423</v>
      </c>
      <c r="O26" s="26">
        <f t="shared" ref="O26" si="90">+SUM(O14+SUM(O17:O25))</f>
        <v>358</v>
      </c>
      <c r="P26" s="26">
        <f t="shared" ref="P26" si="91">+SUM(P14+SUM(P17:P25))</f>
        <v>400</v>
      </c>
      <c r="Q26" s="26">
        <f t="shared" ref="Q26" si="92">+SUM(Q14+SUM(Q17:Q25))</f>
        <v>552</v>
      </c>
      <c r="R26" s="26">
        <f t="shared" ref="R26" si="93">+SUM(R14+SUM(R17:R25))</f>
        <v>514</v>
      </c>
      <c r="S26" s="26">
        <f t="shared" ref="S26" si="94">+SUM(S14+SUM(S17:S25))</f>
        <v>693</v>
      </c>
      <c r="T26" s="26">
        <f t="shared" ref="T26" si="95">+SUM(T14+SUM(T17:T25))</f>
        <v>584</v>
      </c>
      <c r="U26" s="26">
        <f t="shared" ref="U26" si="96">+SUM(U14+SUM(U17:U25))</f>
        <v>675</v>
      </c>
      <c r="V26" s="26">
        <f t="shared" ref="V26" si="97">+SUM(V14+SUM(V17:V25))</f>
        <v>520</v>
      </c>
      <c r="W26" s="26">
        <f t="shared" ref="W26" si="98">+SUM(W14+SUM(W17:W25))</f>
        <v>733</v>
      </c>
      <c r="X26" s="26">
        <f t="shared" ref="X26" si="99">+SUM(X14+SUM(X17:X25))</f>
        <v>677</v>
      </c>
      <c r="Y26" s="26">
        <f t="shared" ref="Y26" si="100">+SUM(Y14+SUM(Y17:Y25))</f>
        <v>921</v>
      </c>
      <c r="Z26" s="26">
        <f t="shared" ref="Z26" si="101">+SUM(Z14+SUM(Z17:Z25))</f>
        <v>819</v>
      </c>
      <c r="AA26" s="26">
        <f t="shared" ref="AA26" si="102">+SUM(AA14+SUM(AA17:AA25))</f>
        <v>1048</v>
      </c>
      <c r="AC26" s="26">
        <f t="shared" ref="AC26" si="103">+SUM(AC14+SUM(AC17:AC25))</f>
        <v>2343</v>
      </c>
      <c r="AD26" s="26">
        <f t="shared" ref="AD26" si="104">+SUM(AD14+SUM(AD17:AD25))</f>
        <v>2466</v>
      </c>
      <c r="AE26" s="26">
        <f t="shared" ref="AE26" si="105">+SUM(AE14+SUM(AE17:AE25))</f>
        <v>2472</v>
      </c>
      <c r="AF26" s="26">
        <f t="shared" ref="AF26" si="106">+SUM(AF14+SUM(AF17:AF25))</f>
        <v>2512</v>
      </c>
      <c r="AG26" s="26">
        <f t="shared" ref="AG26" si="107">+SUM(AG14+SUM(AG17:AG25))</f>
        <v>2605</v>
      </c>
      <c r="AH26" s="26">
        <f t="shared" ref="AH26" si="108">+SUM(AH14+SUM(AH17:AH25))</f>
        <v>2851</v>
      </c>
      <c r="AI26" s="26">
        <f t="shared" ref="AI26" si="109">+SUM(AI14+SUM(AI17:AI25))</f>
        <v>3150</v>
      </c>
      <c r="AJ26" s="26">
        <f t="shared" ref="AJ26" si="110">+SUM(AJ14+SUM(AJ17:AJ25))</f>
        <v>3465</v>
      </c>
      <c r="AK26" s="11"/>
      <c r="AL26" s="76">
        <f>SUM(AJ26/AF26)-1</f>
        <v>0.37937898089171984</v>
      </c>
    </row>
    <row r="27" spans="2:38" ht="12.75" customHeight="1">
      <c r="B27" s="16" t="s">
        <v>31</v>
      </c>
      <c r="C27" s="17">
        <f t="shared" ref="C27:D27" si="111">C26/C11</f>
        <v>-8.0702108342580441E-3</v>
      </c>
      <c r="D27" s="17">
        <f t="shared" si="111"/>
        <v>0.10077388963660834</v>
      </c>
      <c r="E27" s="17">
        <f>E26/E11</f>
        <v>0.12986910581927141</v>
      </c>
      <c r="F27" s="17">
        <f>F26/F11</f>
        <v>0.16453651685393259</v>
      </c>
      <c r="G27" s="17">
        <f>G26/G11</f>
        <v>0.15555024780557711</v>
      </c>
      <c r="H27" s="32"/>
      <c r="I27" s="17">
        <f t="shared" ref="I27" si="112">I26/I11</f>
        <v>0.13444767441860464</v>
      </c>
      <c r="J27" s="17">
        <f t="shared" ref="J27" si="113">J26/J11</f>
        <v>8.5147871303217423E-2</v>
      </c>
      <c r="K27" s="17">
        <f t="shared" ref="K27" si="114">K26/K11</f>
        <v>0.13199181446111868</v>
      </c>
      <c r="L27" s="17">
        <f t="shared" ref="L27" si="115">L26/L11</f>
        <v>5.7243364246881999E-2</v>
      </c>
      <c r="M27" s="17">
        <f t="shared" ref="M27" si="116">M26/M11</f>
        <v>0.15399867812293458</v>
      </c>
      <c r="N27" s="17">
        <f t="shared" ref="N27" si="117">N26/N11</f>
        <v>0.13039457459926018</v>
      </c>
      <c r="O27" s="17">
        <f t="shared" ref="O27" si="118">O26/O11</f>
        <v>0.11293375394321767</v>
      </c>
      <c r="P27" s="17">
        <f t="shared" ref="P27" si="119">P26/P11</f>
        <v>0.12338062924120913</v>
      </c>
      <c r="Q27" s="17">
        <f>Q26/Q11</f>
        <v>0.16287990557686632</v>
      </c>
      <c r="R27" s="17">
        <f>R26/R11</f>
        <v>0.14281744929146986</v>
      </c>
      <c r="S27" s="17">
        <f>S26/S11</f>
        <v>0.19648426424723561</v>
      </c>
      <c r="T27" s="17">
        <f>T26/T11</f>
        <v>0.15677852348993288</v>
      </c>
      <c r="U27" s="17">
        <f>U26/U11</f>
        <v>0.17500648172154523</v>
      </c>
      <c r="V27" s="17">
        <f>V26/V11</f>
        <v>0.12621359223300971</v>
      </c>
      <c r="W27" s="17">
        <f>W26/W11</f>
        <v>0.17415062960323116</v>
      </c>
      <c r="X27" s="17">
        <f>X26/X11</f>
        <v>0.14843236132427098</v>
      </c>
      <c r="Y27" s="17">
        <f>Y26/Y11</f>
        <v>0.19751233111730646</v>
      </c>
      <c r="Z27" s="17">
        <f>Z26/Z11</f>
        <v>0.16182572614107885</v>
      </c>
      <c r="AA27" s="17">
        <f>AA26/AA11</f>
        <v>0.2069101678183613</v>
      </c>
      <c r="AC27" s="17">
        <f>AC26/AC11</f>
        <v>0.16453651685393259</v>
      </c>
      <c r="AD27" s="17">
        <f>AD26/AD11</f>
        <v>0.16766385640467774</v>
      </c>
      <c r="AE27" s="17">
        <f>AE26/AE11</f>
        <v>0.16232188587563201</v>
      </c>
      <c r="AF27" s="17">
        <f>AF26/AF11</f>
        <v>0.15787819747344603</v>
      </c>
      <c r="AG27" s="17">
        <f>AG26/AG11</f>
        <v>0.15555024780557711</v>
      </c>
      <c r="AH27" s="17">
        <f>AH26/AH11</f>
        <v>0.16242237794109268</v>
      </c>
      <c r="AI27" s="17">
        <f>AI26/AI11</f>
        <v>0.17032551097653292</v>
      </c>
      <c r="AJ27" s="17">
        <f>AJ26/AJ11</f>
        <v>0.17906976744186046</v>
      </c>
      <c r="AK27" s="11"/>
      <c r="AL27" s="77">
        <f>SUM(AJ27-AF27)*1000</f>
        <v>21.191569968414427</v>
      </c>
    </row>
    <row r="28" spans="2:38" ht="5.0999999999999996" customHeight="1">
      <c r="B28" s="16"/>
      <c r="C28" s="17"/>
      <c r="D28" s="17"/>
      <c r="E28" s="17"/>
      <c r="F28" s="17"/>
      <c r="G28" s="17"/>
      <c r="H28" s="3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32"/>
      <c r="Z28" s="82"/>
      <c r="AA28" s="82"/>
      <c r="AC28" s="32"/>
      <c r="AD28" s="32"/>
      <c r="AE28" s="32"/>
      <c r="AF28" s="32"/>
      <c r="AG28" s="32"/>
      <c r="AH28" s="32"/>
      <c r="AI28" s="32"/>
      <c r="AJ28" s="32"/>
      <c r="AK28" s="11"/>
      <c r="AL28" s="75"/>
    </row>
    <row r="29" spans="2:38" ht="12.75" customHeight="1">
      <c r="B29" s="9" t="s">
        <v>204</v>
      </c>
      <c r="C29" s="82">
        <v>-361</v>
      </c>
      <c r="D29" s="82">
        <v>-341</v>
      </c>
      <c r="E29" s="82">
        <v>-470</v>
      </c>
      <c r="F29" s="82">
        <v>-265</v>
      </c>
      <c r="G29" s="82">
        <v>-305</v>
      </c>
      <c r="H29" s="32"/>
      <c r="I29" s="82">
        <v>-82</v>
      </c>
      <c r="J29" s="82">
        <v>-86</v>
      </c>
      <c r="K29" s="82">
        <v>-86</v>
      </c>
      <c r="L29" s="82">
        <v>-87</v>
      </c>
      <c r="M29" s="82">
        <v>-279</v>
      </c>
      <c r="N29" s="82">
        <v>-64</v>
      </c>
      <c r="O29" s="82">
        <v>-63</v>
      </c>
      <c r="P29" s="82">
        <v>-64</v>
      </c>
      <c r="Q29" s="82">
        <v>-65</v>
      </c>
      <c r="R29" s="82">
        <v>-70</v>
      </c>
      <c r="S29" s="82">
        <v>-66</v>
      </c>
      <c r="T29" s="32">
        <v>-64</v>
      </c>
      <c r="U29" s="82">
        <v>-69</v>
      </c>
      <c r="V29" s="82">
        <v>-77</v>
      </c>
      <c r="W29" s="82">
        <v>-79</v>
      </c>
      <c r="X29" s="32">
        <v>-80</v>
      </c>
      <c r="Y29" s="82">
        <v>-82</v>
      </c>
      <c r="Z29" s="82">
        <v>-90</v>
      </c>
      <c r="AA29" s="82">
        <v>-87</v>
      </c>
      <c r="AC29" s="32">
        <f>SUM(Q29:T29)</f>
        <v>-265</v>
      </c>
      <c r="AD29" s="32">
        <f>SUM(R29:U29)</f>
        <v>-269</v>
      </c>
      <c r="AE29" s="32">
        <f>SUM(S29:V29)</f>
        <v>-276</v>
      </c>
      <c r="AF29" s="32">
        <f>SUM(T29:W29)</f>
        <v>-289</v>
      </c>
      <c r="AG29" s="32">
        <f>SUM(U29:X29)</f>
        <v>-305</v>
      </c>
      <c r="AH29" s="32">
        <f>SUM(V29:Y29)</f>
        <v>-318</v>
      </c>
      <c r="AI29" s="32">
        <f>SUM(W29:Z29)</f>
        <v>-331</v>
      </c>
      <c r="AJ29" s="32">
        <f>SUM(X29:AA29)</f>
        <v>-339</v>
      </c>
      <c r="AK29" s="11"/>
      <c r="AL29" s="75">
        <f t="shared" ref="AL29" si="120">SUM(AJ29/AF29)-1</f>
        <v>0.17301038062283736</v>
      </c>
    </row>
    <row r="30" spans="2:38" ht="12.75" customHeight="1">
      <c r="B30" s="9" t="s">
        <v>174</v>
      </c>
      <c r="C30" s="82">
        <v>362</v>
      </c>
      <c r="D30" s="82">
        <v>218</v>
      </c>
      <c r="E30" s="82">
        <v>-38</v>
      </c>
      <c r="F30" s="82">
        <v>-93</v>
      </c>
      <c r="G30" s="82">
        <v>-16</v>
      </c>
      <c r="H30" s="32"/>
      <c r="I30" s="82">
        <v>37</v>
      </c>
      <c r="J30" s="82">
        <v>-27</v>
      </c>
      <c r="K30" s="82">
        <v>181</v>
      </c>
      <c r="L30" s="82">
        <v>27</v>
      </c>
      <c r="M30" s="82">
        <v>-31</v>
      </c>
      <c r="N30" s="82">
        <v>-14</v>
      </c>
      <c r="O30" s="82">
        <v>-50</v>
      </c>
      <c r="P30" s="82">
        <v>57</v>
      </c>
      <c r="Q30" s="82">
        <v>-43</v>
      </c>
      <c r="R30" s="82">
        <v>-18</v>
      </c>
      <c r="S30" s="82">
        <v>-17</v>
      </c>
      <c r="T30" s="32">
        <v>-15</v>
      </c>
      <c r="U30" s="82">
        <v>2</v>
      </c>
      <c r="V30" s="82">
        <v>-23</v>
      </c>
      <c r="W30" s="82">
        <v>14</v>
      </c>
      <c r="X30" s="32">
        <v>-9</v>
      </c>
      <c r="Y30" s="82">
        <v>-34</v>
      </c>
      <c r="Z30" s="82">
        <v>213</v>
      </c>
      <c r="AA30" s="82">
        <v>-22</v>
      </c>
      <c r="AC30" s="32">
        <f t="shared" ref="AC30" si="121">SUM(Q30:T30)</f>
        <v>-93</v>
      </c>
      <c r="AD30" s="32">
        <f t="shared" ref="AD30" si="122">SUM(R30:U30)</f>
        <v>-48</v>
      </c>
      <c r="AE30" s="32">
        <f t="shared" ref="AE30" si="123">SUM(S30:V30)</f>
        <v>-53</v>
      </c>
      <c r="AF30" s="32">
        <f t="shared" ref="AF30" si="124">SUM(T30:W30)</f>
        <v>-22</v>
      </c>
      <c r="AG30" s="32">
        <f t="shared" ref="AG30" si="125">SUM(U30:X30)</f>
        <v>-16</v>
      </c>
      <c r="AH30" s="32">
        <f t="shared" ref="AH30" si="126">SUM(V30:Y30)</f>
        <v>-52</v>
      </c>
      <c r="AI30" s="32">
        <f t="shared" ref="AI30" si="127">SUM(W30:Z30)</f>
        <v>184</v>
      </c>
      <c r="AJ30" s="32">
        <f t="shared" ref="AJ30" si="128">SUM(X30:AA30)</f>
        <v>148</v>
      </c>
      <c r="AK30" s="11"/>
      <c r="AL30" s="75"/>
    </row>
    <row r="31" spans="2:38" ht="12.75" customHeight="1">
      <c r="B31" s="25" t="s">
        <v>156</v>
      </c>
      <c r="C31" s="26">
        <f>SUM(C26+SUM(C29:C30))</f>
        <v>-79</v>
      </c>
      <c r="D31" s="26">
        <f>SUM(D26+SUM(D29:D30))</f>
        <v>1075</v>
      </c>
      <c r="E31" s="26">
        <f>SUM(E26+SUM(E29:E30))</f>
        <v>1139</v>
      </c>
      <c r="F31" s="26">
        <f>SUM(F26+SUM(F29:F30))</f>
        <v>1985</v>
      </c>
      <c r="G31" s="26">
        <f>SUM(G26+SUM(G29:G30))</f>
        <v>2284</v>
      </c>
      <c r="I31" s="26">
        <f>SUM(I26+SUM(I29:I30))</f>
        <v>325</v>
      </c>
      <c r="J31" s="26">
        <f>SUM(J26+SUM(J29:J30))</f>
        <v>149</v>
      </c>
      <c r="K31" s="26">
        <f>SUM(K26+SUM(K29:K30))</f>
        <v>482</v>
      </c>
      <c r="L31" s="26">
        <f>SUM(L26+SUM(L29:L30))</f>
        <v>119</v>
      </c>
      <c r="M31" s="26">
        <f>SUM(M26+SUM(M29:M30))</f>
        <v>156</v>
      </c>
      <c r="N31" s="26">
        <f>SUM(N26+SUM(N29:N30))</f>
        <v>345</v>
      </c>
      <c r="O31" s="26">
        <f>SUM(O26+SUM(O29:O30))</f>
        <v>245</v>
      </c>
      <c r="P31" s="26">
        <f>SUM(P26+SUM(P29:P30))</f>
        <v>393</v>
      </c>
      <c r="Q31" s="26">
        <f>SUM(Q26+SUM(Q29:Q30))</f>
        <v>444</v>
      </c>
      <c r="R31" s="26">
        <f>SUM(R26+SUM(R29:R30))</f>
        <v>426</v>
      </c>
      <c r="S31" s="26">
        <f>SUM(S26+SUM(S29:S30))</f>
        <v>610</v>
      </c>
      <c r="T31" s="26">
        <f>SUM(T26+SUM(T29:T30))</f>
        <v>505</v>
      </c>
      <c r="U31" s="26">
        <f>SUM(U26+SUM(U29:U30))</f>
        <v>608</v>
      </c>
      <c r="V31" s="26">
        <f>SUM(V26+SUM(V29:V30))</f>
        <v>420</v>
      </c>
      <c r="W31" s="26">
        <f>SUM(W26+SUM(W29:W30))</f>
        <v>668</v>
      </c>
      <c r="X31" s="26">
        <f>SUM(X26+SUM(X29:X30))</f>
        <v>588</v>
      </c>
      <c r="Y31" s="26">
        <f>SUM(Y26+SUM(Y29:Y30))</f>
        <v>805</v>
      </c>
      <c r="Z31" s="26">
        <f>SUM(Z26+SUM(Z29:Z30))</f>
        <v>942</v>
      </c>
      <c r="AA31" s="26">
        <f>SUM(AA26+SUM(AA29:AA30))</f>
        <v>939</v>
      </c>
      <c r="AC31" s="26">
        <f>SUM(AC26+SUM(AC29:AC30))</f>
        <v>1985</v>
      </c>
      <c r="AD31" s="26">
        <f>SUM(AD26+SUM(AD29:AD30))</f>
        <v>2149</v>
      </c>
      <c r="AE31" s="26">
        <f>SUM(AE26+SUM(AE29:AE30))</f>
        <v>2143</v>
      </c>
      <c r="AF31" s="26">
        <f>SUM(AF26+SUM(AF29:AF30))</f>
        <v>2201</v>
      </c>
      <c r="AG31" s="26">
        <f>SUM(AG26+SUM(AG29:AG30))</f>
        <v>2284</v>
      </c>
      <c r="AH31" s="26">
        <f>SUM(AH26+SUM(AH29:AH30))</f>
        <v>2481</v>
      </c>
      <c r="AI31" s="26">
        <f>SUM(AI26+SUM(AI29:AI30))</f>
        <v>3003</v>
      </c>
      <c r="AJ31" s="26">
        <f>SUM(AJ26+SUM(AJ29:AJ30))</f>
        <v>3274</v>
      </c>
      <c r="AK31" s="42"/>
      <c r="AL31" s="76">
        <f>SUM(AJ31/AF31)-1</f>
        <v>0.48750567923671051</v>
      </c>
    </row>
    <row r="32" spans="2:38" ht="12.75" customHeight="1">
      <c r="B32" s="16" t="s">
        <v>157</v>
      </c>
      <c r="C32" s="17">
        <f>C31/C11</f>
        <v>-7.9693331988298192E-3</v>
      </c>
      <c r="D32" s="17">
        <f>D31/D11</f>
        <v>9.0427321668909821E-2</v>
      </c>
      <c r="E32" s="17">
        <f>E31/E11</f>
        <v>8.9812332439678288E-2</v>
      </c>
      <c r="F32" s="17">
        <f>F31/F11</f>
        <v>0.13939606741573032</v>
      </c>
      <c r="G32" s="17">
        <f>G31/G11</f>
        <v>0.13638263569594555</v>
      </c>
      <c r="H32" s="27"/>
      <c r="I32" s="17">
        <f>I31/I11</f>
        <v>0.11809593023255814</v>
      </c>
      <c r="J32" s="17">
        <f>J31/J11</f>
        <v>4.8423789405264865E-2</v>
      </c>
      <c r="K32" s="17">
        <f>K31/K11</f>
        <v>0.16439290586630287</v>
      </c>
      <c r="L32" s="17">
        <f>L31/L11</f>
        <v>3.8055644387591944E-2</v>
      </c>
      <c r="M32" s="17">
        <f>M31/M11</f>
        <v>5.1553205551883675E-2</v>
      </c>
      <c r="N32" s="17">
        <f>N31/N11</f>
        <v>0.1063501849568434</v>
      </c>
      <c r="O32" s="17">
        <f>O31/O11</f>
        <v>7.7287066246056788E-2</v>
      </c>
      <c r="P32" s="17">
        <f>P31/P11</f>
        <v>0.12122146822948797</v>
      </c>
      <c r="Q32" s="17">
        <f>Q31/Q11</f>
        <v>0.13101209796400118</v>
      </c>
      <c r="R32" s="17">
        <f>R31/R11</f>
        <v>0.11836621283689913</v>
      </c>
      <c r="S32" s="17">
        <f>S31/S11</f>
        <v>0.17295151686986107</v>
      </c>
      <c r="T32" s="17">
        <f>T31/T11</f>
        <v>0.13557046979865772</v>
      </c>
      <c r="U32" s="17">
        <f>U31/U11</f>
        <v>0.15763546798029557</v>
      </c>
      <c r="V32" s="17">
        <f>V31/V11</f>
        <v>0.10194174757281553</v>
      </c>
      <c r="W32" s="17">
        <f>W31/W11</f>
        <v>0.15870753148016156</v>
      </c>
      <c r="X32" s="17">
        <f>X31/X11</f>
        <v>0.12891909668932253</v>
      </c>
      <c r="Y32" s="17">
        <f>Y31/Y11</f>
        <v>0.17263564229037101</v>
      </c>
      <c r="Z32" s="17">
        <f>Z31/Z11</f>
        <v>0.18612922347362182</v>
      </c>
      <c r="AA32" s="17">
        <f>AA31/AA11</f>
        <v>0.18538993089832181</v>
      </c>
      <c r="AB32" s="28"/>
      <c r="AC32" s="17">
        <f>AC31/AC11</f>
        <v>0.13939606741573032</v>
      </c>
      <c r="AD32" s="17">
        <f>AD31/AD11</f>
        <v>0.14611096002175686</v>
      </c>
      <c r="AE32" s="17">
        <f>AE31/AE11</f>
        <v>0.1407183662748703</v>
      </c>
      <c r="AF32" s="17">
        <f>AF31/AF11</f>
        <v>0.13833197159198038</v>
      </c>
      <c r="AG32" s="17">
        <f>AG31/AG11</f>
        <v>0.13638263569594555</v>
      </c>
      <c r="AH32" s="17">
        <f>AH31/AH11</f>
        <v>0.141343360109383</v>
      </c>
      <c r="AI32" s="17">
        <f>AI31/AI11</f>
        <v>0.16237698713096138</v>
      </c>
      <c r="AJ32" s="17">
        <f>AJ31/AJ11</f>
        <v>0.16919896640826873</v>
      </c>
      <c r="AK32" s="43"/>
      <c r="AL32" s="77">
        <f>SUM(AJ32-AF32)*1000</f>
        <v>30.866994816288351</v>
      </c>
    </row>
    <row r="33" spans="1:38" ht="5.0999999999999996" customHeight="1">
      <c r="B33" s="16"/>
      <c r="C33" s="17"/>
      <c r="D33" s="17"/>
      <c r="E33" s="17"/>
      <c r="F33" s="17"/>
      <c r="G33" s="17"/>
      <c r="H33" s="2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28"/>
      <c r="AC33" s="17"/>
      <c r="AD33" s="17"/>
      <c r="AE33" s="17"/>
      <c r="AF33" s="17"/>
      <c r="AG33" s="17"/>
      <c r="AH33" s="17"/>
      <c r="AI33" s="17"/>
      <c r="AJ33" s="17"/>
      <c r="AK33" s="43"/>
      <c r="AL33" s="77"/>
    </row>
    <row r="34" spans="1:38" ht="12.75" customHeight="1">
      <c r="B34" s="9" t="s">
        <v>104</v>
      </c>
      <c r="C34" s="82">
        <v>-2</v>
      </c>
      <c r="D34" s="82">
        <v>-36</v>
      </c>
      <c r="E34" s="82">
        <v>-443</v>
      </c>
      <c r="F34" s="82">
        <v>-393</v>
      </c>
      <c r="G34" s="82">
        <v>-436</v>
      </c>
      <c r="H34" s="32"/>
      <c r="I34" s="82">
        <v>16</v>
      </c>
      <c r="J34" s="82">
        <v>37</v>
      </c>
      <c r="K34" s="82">
        <v>-63</v>
      </c>
      <c r="L34" s="82">
        <v>-26</v>
      </c>
      <c r="M34" s="82">
        <v>-45</v>
      </c>
      <c r="N34" s="82">
        <v>-85</v>
      </c>
      <c r="O34" s="82">
        <v>-57</v>
      </c>
      <c r="P34" s="82">
        <v>-256</v>
      </c>
      <c r="Q34" s="82">
        <v>-130</v>
      </c>
      <c r="R34" s="82">
        <v>-156</v>
      </c>
      <c r="S34" s="82">
        <v>-106</v>
      </c>
      <c r="T34" s="82">
        <v>-1</v>
      </c>
      <c r="U34" s="82">
        <v>-115</v>
      </c>
      <c r="V34" s="82">
        <v>-98</v>
      </c>
      <c r="W34" s="82">
        <v>-200</v>
      </c>
      <c r="X34" s="82">
        <v>-23</v>
      </c>
      <c r="Y34" s="82">
        <v>-133</v>
      </c>
      <c r="Z34" s="82">
        <v>-146</v>
      </c>
      <c r="AA34" s="82">
        <v>-184</v>
      </c>
      <c r="AC34" s="32">
        <f>SUM(Q34:T34)</f>
        <v>-393</v>
      </c>
      <c r="AD34" s="32">
        <f>SUM(R34:U34)</f>
        <v>-378</v>
      </c>
      <c r="AE34" s="32">
        <f>SUM(S34:V34)</f>
        <v>-320</v>
      </c>
      <c r="AF34" s="32">
        <f>SUM(T34:W34)</f>
        <v>-414</v>
      </c>
      <c r="AG34" s="32">
        <f>SUM(U34:X34)</f>
        <v>-436</v>
      </c>
      <c r="AH34" s="32">
        <f>SUM(V34:Y34)</f>
        <v>-454</v>
      </c>
      <c r="AI34" s="32">
        <f>SUM(W34:Z34)</f>
        <v>-502</v>
      </c>
      <c r="AJ34" s="32">
        <f>SUM(X34:AA34)</f>
        <v>-486</v>
      </c>
      <c r="AK34" s="11"/>
      <c r="AL34" s="75">
        <f>SUM(AJ34/AF34)-1</f>
        <v>0.17391304347826098</v>
      </c>
    </row>
    <row r="35" spans="1:38" ht="12.75" customHeight="1">
      <c r="B35" s="13" t="s">
        <v>205</v>
      </c>
      <c r="C35" s="14">
        <f t="shared" ref="C35:D35" si="129">SUM(C31+SUM(C34:C34))</f>
        <v>-81</v>
      </c>
      <c r="D35" s="14">
        <f t="shared" si="129"/>
        <v>1039</v>
      </c>
      <c r="E35" s="14">
        <f t="shared" ref="E35:G35" si="130">SUM(E31+SUM(E34:E34))</f>
        <v>696</v>
      </c>
      <c r="F35" s="14">
        <f t="shared" si="130"/>
        <v>1592</v>
      </c>
      <c r="G35" s="14">
        <f t="shared" si="130"/>
        <v>1848</v>
      </c>
      <c r="H35" s="11"/>
      <c r="I35" s="14">
        <f t="shared" ref="I35:O35" si="131">SUM(I31+SUM(I34:I34))</f>
        <v>341</v>
      </c>
      <c r="J35" s="14">
        <f t="shared" ref="J35:L35" si="132">SUM(J31+SUM(J34:J34))</f>
        <v>186</v>
      </c>
      <c r="K35" s="14">
        <f t="shared" si="132"/>
        <v>419</v>
      </c>
      <c r="L35" s="14">
        <f t="shared" si="132"/>
        <v>93</v>
      </c>
      <c r="M35" s="14">
        <f t="shared" si="131"/>
        <v>111</v>
      </c>
      <c r="N35" s="14">
        <f t="shared" si="131"/>
        <v>260</v>
      </c>
      <c r="O35" s="14">
        <f t="shared" si="131"/>
        <v>188</v>
      </c>
      <c r="P35" s="14">
        <f t="shared" ref="P35" si="133">SUM(P31+SUM(P34:P34))</f>
        <v>137</v>
      </c>
      <c r="Q35" s="14">
        <f t="shared" ref="Q35:AA35" si="134">SUM(Q31+SUM(Q34:Q34))</f>
        <v>314</v>
      </c>
      <c r="R35" s="14">
        <f t="shared" si="134"/>
        <v>270</v>
      </c>
      <c r="S35" s="14">
        <f t="shared" si="134"/>
        <v>504</v>
      </c>
      <c r="T35" s="14">
        <f t="shared" si="134"/>
        <v>504</v>
      </c>
      <c r="U35" s="14">
        <f t="shared" si="134"/>
        <v>493</v>
      </c>
      <c r="V35" s="14">
        <f t="shared" si="134"/>
        <v>322</v>
      </c>
      <c r="W35" s="14">
        <f t="shared" si="134"/>
        <v>468</v>
      </c>
      <c r="X35" s="14">
        <f t="shared" si="134"/>
        <v>565</v>
      </c>
      <c r="Y35" s="14">
        <f t="shared" si="134"/>
        <v>672</v>
      </c>
      <c r="Z35" s="14">
        <f t="shared" si="134"/>
        <v>796</v>
      </c>
      <c r="AA35" s="14">
        <f t="shared" si="134"/>
        <v>755</v>
      </c>
      <c r="AB35" s="32"/>
      <c r="AC35" s="14">
        <f t="shared" ref="AC35:AJ35" si="135">SUM(AC31+SUM(AC34:AC34))</f>
        <v>1592</v>
      </c>
      <c r="AD35" s="14">
        <f t="shared" si="135"/>
        <v>1771</v>
      </c>
      <c r="AE35" s="14">
        <f t="shared" si="135"/>
        <v>1823</v>
      </c>
      <c r="AF35" s="14">
        <f t="shared" si="135"/>
        <v>1787</v>
      </c>
      <c r="AG35" s="14">
        <f t="shared" si="135"/>
        <v>1848</v>
      </c>
      <c r="AH35" s="14">
        <f t="shared" si="135"/>
        <v>2027</v>
      </c>
      <c r="AI35" s="14">
        <f t="shared" si="135"/>
        <v>2501</v>
      </c>
      <c r="AJ35" s="14">
        <f t="shared" si="135"/>
        <v>2788</v>
      </c>
      <c r="AK35" s="36"/>
      <c r="AL35" s="76">
        <f>SUM(AJ35/AF35)-1</f>
        <v>0.5601566871852266</v>
      </c>
    </row>
    <row r="36" spans="1:38" ht="12.75" customHeight="1">
      <c r="B36" s="16"/>
      <c r="C36" s="17"/>
      <c r="D36" s="17"/>
      <c r="E36" s="17"/>
      <c r="F36" s="17"/>
      <c r="G36" s="17"/>
      <c r="H36" s="2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8"/>
      <c r="AC36" s="17"/>
      <c r="AD36" s="17"/>
      <c r="AE36" s="17"/>
      <c r="AF36" s="17"/>
      <c r="AG36" s="17"/>
      <c r="AH36" s="17"/>
      <c r="AI36" s="17"/>
      <c r="AJ36" s="17"/>
      <c r="AK36" s="43"/>
      <c r="AL36" s="77"/>
    </row>
    <row r="37" spans="1:38" ht="12.75" customHeight="1">
      <c r="B37" s="9" t="s">
        <v>207</v>
      </c>
      <c r="C37" s="82">
        <v>33</v>
      </c>
      <c r="D37" s="82">
        <v>55</v>
      </c>
      <c r="E37" s="82">
        <v>55</v>
      </c>
      <c r="F37" s="82">
        <v>23</v>
      </c>
      <c r="G37" s="82">
        <v>0</v>
      </c>
      <c r="H37" s="32"/>
      <c r="I37" s="82">
        <v>14</v>
      </c>
      <c r="J37" s="82">
        <v>14</v>
      </c>
      <c r="K37" s="82">
        <v>14</v>
      </c>
      <c r="L37" s="82">
        <v>13</v>
      </c>
      <c r="M37" s="82">
        <v>14</v>
      </c>
      <c r="N37" s="82">
        <v>14</v>
      </c>
      <c r="O37" s="82">
        <v>14</v>
      </c>
      <c r="P37" s="82">
        <v>13</v>
      </c>
      <c r="Q37" s="82">
        <v>14</v>
      </c>
      <c r="R37" s="82">
        <v>9</v>
      </c>
      <c r="S37" s="82">
        <v>0</v>
      </c>
      <c r="T37" s="82">
        <v>0</v>
      </c>
      <c r="U37" s="82">
        <v>0</v>
      </c>
      <c r="V37" s="82">
        <v>0</v>
      </c>
      <c r="W37" s="82">
        <v>0</v>
      </c>
      <c r="X37" s="82">
        <v>0</v>
      </c>
      <c r="Y37" s="82">
        <v>0</v>
      </c>
      <c r="Z37" s="82">
        <v>0</v>
      </c>
      <c r="AA37" s="82">
        <v>0</v>
      </c>
      <c r="AC37" s="32">
        <f>SUM(Q37:T37)</f>
        <v>23</v>
      </c>
      <c r="AD37" s="32">
        <f>SUM(R37:U37)</f>
        <v>9</v>
      </c>
      <c r="AE37" s="32">
        <f>SUM(S37:V37)</f>
        <v>0</v>
      </c>
      <c r="AF37" s="32">
        <f>SUM(T37:W37)</f>
        <v>0</v>
      </c>
      <c r="AG37" s="32">
        <f>SUM(U37:X37)</f>
        <v>0</v>
      </c>
      <c r="AH37" s="32">
        <f>SUM(V37:Y37)</f>
        <v>0</v>
      </c>
      <c r="AI37" s="32">
        <f>SUM(W37:Z37)</f>
        <v>0</v>
      </c>
      <c r="AJ37" s="32">
        <f>SUM(X37:AA37)</f>
        <v>0</v>
      </c>
      <c r="AK37" s="11"/>
      <c r="AL37" s="75" t="e">
        <f>SUM(AJ37/AF37)-1</f>
        <v>#DIV/0!</v>
      </c>
    </row>
    <row r="38" spans="1:38" ht="12.75" customHeight="1">
      <c r="B38" s="9" t="s">
        <v>208</v>
      </c>
      <c r="C38" s="82">
        <v>0</v>
      </c>
      <c r="D38" s="82">
        <v>0</v>
      </c>
      <c r="E38" s="82">
        <v>0</v>
      </c>
      <c r="F38" s="82">
        <v>0</v>
      </c>
      <c r="G38" s="82">
        <v>4</v>
      </c>
      <c r="H38" s="32"/>
      <c r="I38" s="82">
        <v>0</v>
      </c>
      <c r="J38" s="82">
        <v>0</v>
      </c>
      <c r="K38" s="82">
        <v>0</v>
      </c>
      <c r="L38" s="82">
        <v>0</v>
      </c>
      <c r="M38" s="82">
        <v>0</v>
      </c>
      <c r="N38" s="82">
        <v>0</v>
      </c>
      <c r="O38" s="82">
        <v>0</v>
      </c>
      <c r="P38" s="82">
        <v>0</v>
      </c>
      <c r="Q38" s="82">
        <v>0</v>
      </c>
      <c r="R38" s="82">
        <v>0</v>
      </c>
      <c r="S38" s="82">
        <v>0</v>
      </c>
      <c r="T38" s="82">
        <v>0</v>
      </c>
      <c r="U38" s="82">
        <v>2</v>
      </c>
      <c r="V38" s="82">
        <v>2</v>
      </c>
      <c r="W38" s="82">
        <v>0</v>
      </c>
      <c r="X38" s="82">
        <v>0</v>
      </c>
      <c r="Y38" s="82">
        <v>2</v>
      </c>
      <c r="Z38" s="82">
        <v>1</v>
      </c>
      <c r="AA38" s="82">
        <v>0</v>
      </c>
      <c r="AC38" s="32">
        <f>SUM(Q38:T38)</f>
        <v>0</v>
      </c>
      <c r="AD38" s="32">
        <f>SUM(R38:U38)</f>
        <v>2</v>
      </c>
      <c r="AE38" s="32">
        <f>SUM(S38:V38)</f>
        <v>4</v>
      </c>
      <c r="AF38" s="32">
        <f>SUM(T38:W38)</f>
        <v>4</v>
      </c>
      <c r="AG38" s="32">
        <f>SUM(U38:X38)</f>
        <v>4</v>
      </c>
      <c r="AH38" s="32">
        <f>SUM(V38:Y38)</f>
        <v>4</v>
      </c>
      <c r="AI38" s="32">
        <f>SUM(W38:Z38)</f>
        <v>3</v>
      </c>
      <c r="AJ38" s="32">
        <f>SUM(X38:AA38)</f>
        <v>3</v>
      </c>
      <c r="AK38" s="11"/>
      <c r="AL38" s="75">
        <f>SUM(AJ38/AF38)-1</f>
        <v>-0.25</v>
      </c>
    </row>
    <row r="39" spans="1:38" ht="12.75" customHeight="1">
      <c r="B39" s="13" t="s">
        <v>206</v>
      </c>
      <c r="C39" s="14">
        <f>SUM(C35+SUM(C37:C38))</f>
        <v>-48</v>
      </c>
      <c r="D39" s="14">
        <f t="shared" ref="D39:G39" si="136">SUM(D35+SUM(D37:D38))</f>
        <v>1094</v>
      </c>
      <c r="E39" s="14">
        <f t="shared" si="136"/>
        <v>751</v>
      </c>
      <c r="F39" s="14">
        <f t="shared" si="136"/>
        <v>1615</v>
      </c>
      <c r="G39" s="14">
        <f t="shared" si="136"/>
        <v>1852</v>
      </c>
      <c r="H39" s="11"/>
      <c r="I39" s="14">
        <f t="shared" ref="I39" si="137">SUM(I35+SUM(I37:I38))</f>
        <v>355</v>
      </c>
      <c r="J39" s="14">
        <f t="shared" ref="J39" si="138">SUM(J35+SUM(J37:J38))</f>
        <v>200</v>
      </c>
      <c r="K39" s="14">
        <f t="shared" ref="K39" si="139">SUM(K35+SUM(K37:K38))</f>
        <v>433</v>
      </c>
      <c r="L39" s="14">
        <f t="shared" ref="L39" si="140">SUM(L35+SUM(L37:L38))</f>
        <v>106</v>
      </c>
      <c r="M39" s="14">
        <f t="shared" ref="M39" si="141">SUM(M35+SUM(M37:M38))</f>
        <v>125</v>
      </c>
      <c r="N39" s="14">
        <f t="shared" ref="N39" si="142">SUM(N35+SUM(N37:N38))</f>
        <v>274</v>
      </c>
      <c r="O39" s="14">
        <f t="shared" ref="O39" si="143">SUM(O35+SUM(O37:O38))</f>
        <v>202</v>
      </c>
      <c r="P39" s="14">
        <f t="shared" ref="P39" si="144">SUM(P35+SUM(P37:P38))</f>
        <v>150</v>
      </c>
      <c r="Q39" s="14">
        <f t="shared" ref="Q39" si="145">SUM(Q35+SUM(Q37:Q38))</f>
        <v>328</v>
      </c>
      <c r="R39" s="14">
        <f t="shared" ref="R39" si="146">SUM(R35+SUM(R37:R38))</f>
        <v>279</v>
      </c>
      <c r="S39" s="14">
        <f t="shared" ref="S39" si="147">SUM(S35+SUM(S37:S38))</f>
        <v>504</v>
      </c>
      <c r="T39" s="14">
        <f t="shared" ref="T39" si="148">SUM(T35+SUM(T37:T38))</f>
        <v>504</v>
      </c>
      <c r="U39" s="14">
        <f t="shared" ref="U39" si="149">SUM(U35+SUM(U37:U38))</f>
        <v>495</v>
      </c>
      <c r="V39" s="14">
        <f t="shared" ref="V39" si="150">SUM(V35+SUM(V37:V38))</f>
        <v>324</v>
      </c>
      <c r="W39" s="14">
        <f t="shared" ref="W39" si="151">SUM(W35+SUM(W37:W38))</f>
        <v>468</v>
      </c>
      <c r="X39" s="14">
        <f t="shared" ref="X39" si="152">SUM(X35+SUM(X37:X38))</f>
        <v>565</v>
      </c>
      <c r="Y39" s="14">
        <f t="shared" ref="Y39" si="153">SUM(Y35+SUM(Y37:Y38))</f>
        <v>674</v>
      </c>
      <c r="Z39" s="14">
        <f t="shared" ref="Z39" si="154">SUM(Z35+SUM(Z37:Z38))</f>
        <v>797</v>
      </c>
      <c r="AA39" s="14">
        <f t="shared" ref="AA39" si="155">SUM(AA35+SUM(AA37:AA38))</f>
        <v>755</v>
      </c>
      <c r="AB39" s="32"/>
      <c r="AC39" s="14">
        <f t="shared" ref="AC39" si="156">SUM(AC35+SUM(AC37:AC38))</f>
        <v>1615</v>
      </c>
      <c r="AD39" s="14">
        <f t="shared" ref="AD39" si="157">SUM(AD35+SUM(AD37:AD38))</f>
        <v>1782</v>
      </c>
      <c r="AE39" s="14">
        <f t="shared" ref="AE39" si="158">SUM(AE35+SUM(AE37:AE38))</f>
        <v>1827</v>
      </c>
      <c r="AF39" s="14">
        <f t="shared" ref="AF39" si="159">SUM(AF35+SUM(AF37:AF38))</f>
        <v>1791</v>
      </c>
      <c r="AG39" s="14">
        <f t="shared" ref="AG39" si="160">SUM(AG35+SUM(AG37:AG38))</f>
        <v>1852</v>
      </c>
      <c r="AH39" s="14">
        <f t="shared" ref="AH39" si="161">SUM(AH35+SUM(AH37:AH38))</f>
        <v>2031</v>
      </c>
      <c r="AI39" s="14">
        <f t="shared" ref="AI39" si="162">SUM(AI35+SUM(AI37:AI38))</f>
        <v>2504</v>
      </c>
      <c r="AJ39" s="14">
        <f t="shared" ref="AJ39" si="163">SUM(AJ35+SUM(AJ37:AJ38))</f>
        <v>2791</v>
      </c>
      <c r="AK39" s="36"/>
      <c r="AL39" s="76">
        <f>SUM(AJ39/AF39)-1</f>
        <v>0.55834729201563382</v>
      </c>
    </row>
    <row r="40" spans="1:38" ht="12.75" customHeight="1">
      <c r="B40" s="16" t="s">
        <v>103</v>
      </c>
      <c r="C40" s="17">
        <f>C39/C11</f>
        <v>-4.8421265005548272E-3</v>
      </c>
      <c r="D40" s="17">
        <f t="shared" ref="D40:G40" si="164">D39/D11</f>
        <v>9.2025572005383582E-2</v>
      </c>
      <c r="E40" s="17">
        <f t="shared" si="164"/>
        <v>5.9217788992272515E-2</v>
      </c>
      <c r="F40" s="17">
        <f t="shared" si="164"/>
        <v>0.11341292134831461</v>
      </c>
      <c r="G40" s="17">
        <f t="shared" si="164"/>
        <v>0.11058697080074043</v>
      </c>
      <c r="H40" s="27"/>
      <c r="I40" s="17">
        <f t="shared" ref="I40" si="165">I39/I11</f>
        <v>0.12899709302325582</v>
      </c>
      <c r="J40" s="17">
        <f t="shared" ref="J40" si="166">J39/J11</f>
        <v>6.4998375040623987E-2</v>
      </c>
      <c r="K40" s="17">
        <f t="shared" ref="K40" si="167">K39/K11</f>
        <v>0.14768076398362892</v>
      </c>
      <c r="L40" s="17">
        <f t="shared" ref="L40" si="168">L39/L11</f>
        <v>3.3898305084745763E-2</v>
      </c>
      <c r="M40" s="17">
        <f t="shared" ref="M40" si="169">M39/M11</f>
        <v>4.1308658294778589E-2</v>
      </c>
      <c r="N40" s="17">
        <f t="shared" ref="N40" si="170">N39/N11</f>
        <v>8.4463625154130709E-2</v>
      </c>
      <c r="O40" s="17">
        <f t="shared" ref="O40" si="171">O39/O11</f>
        <v>6.3722397476340689E-2</v>
      </c>
      <c r="P40" s="17">
        <f t="shared" ref="P40" si="172">P39/P11</f>
        <v>4.6267735965453423E-2</v>
      </c>
      <c r="Q40" s="17">
        <f t="shared" ref="Q40" si="173">Q39/Q11</f>
        <v>9.6783712009442316E-2</v>
      </c>
      <c r="R40" s="17">
        <f t="shared" ref="R40" si="174">R39/R11</f>
        <v>7.7521533759377606E-2</v>
      </c>
      <c r="S40" s="17">
        <f t="shared" ref="S40" si="175">S39/S11</f>
        <v>0.14289764672526226</v>
      </c>
      <c r="T40" s="17">
        <f t="shared" ref="T40" si="176">T39/T11</f>
        <v>0.13530201342281878</v>
      </c>
      <c r="U40" s="17">
        <f t="shared" ref="U40" si="177">U39/U11</f>
        <v>0.12833808659579984</v>
      </c>
      <c r="V40" s="17">
        <f t="shared" ref="V40" si="178">V39/V11</f>
        <v>7.8640776699029122E-2</v>
      </c>
      <c r="W40" s="17">
        <f t="shared" ref="W40" si="179">W39/W11</f>
        <v>0.11119030648610122</v>
      </c>
      <c r="X40" s="17">
        <f t="shared" ref="X40" si="180">X39/X11</f>
        <v>0.12387634290725719</v>
      </c>
      <c r="Y40" s="17">
        <f t="shared" ref="Y40" si="181">Y39/Y11</f>
        <v>0.14454214025305598</v>
      </c>
      <c r="Z40" s="17">
        <f t="shared" ref="Z40" si="182">Z39/Z11</f>
        <v>0.15747875913851017</v>
      </c>
      <c r="AA40" s="17">
        <f t="shared" ref="AA40" si="183">AA39/AA11</f>
        <v>0.14906219151036526</v>
      </c>
      <c r="AB40" s="28"/>
      <c r="AC40" s="17">
        <f t="shared" ref="AC40" si="184">AC39/AC11</f>
        <v>0.11341292134831461</v>
      </c>
      <c r="AD40" s="17">
        <f t="shared" ref="AD40" si="185">AD39/AD11</f>
        <v>0.12115855316834376</v>
      </c>
      <c r="AE40" s="17">
        <f t="shared" ref="AE40" si="186">AE39/AE11</f>
        <v>0.11996848118720861</v>
      </c>
      <c r="AF40" s="17">
        <f t="shared" ref="AF40" si="187">AF39/AF11</f>
        <v>0.11256363522091635</v>
      </c>
      <c r="AG40" s="17">
        <f t="shared" ref="AG40" si="188">AG39/AG11</f>
        <v>0.11058697080074043</v>
      </c>
      <c r="AH40" s="17">
        <f t="shared" ref="AH40" si="189">AH39/AH11</f>
        <v>0.11570671680054692</v>
      </c>
      <c r="AI40" s="17">
        <f t="shared" ref="AI40" si="190">AI39/AI11</f>
        <v>0.13539526332864713</v>
      </c>
      <c r="AJ40" s="17">
        <f t="shared" ref="AJ40" si="191">AJ39/AJ11</f>
        <v>0.14423772609819122</v>
      </c>
      <c r="AK40" s="43"/>
      <c r="AL40" s="77">
        <f>SUM(AJ40-AF40)*1000</f>
        <v>31.674090877274867</v>
      </c>
    </row>
    <row r="41" spans="1:38" ht="5.0999999999999996" customHeight="1">
      <c r="B41" s="16"/>
      <c r="C41" s="17"/>
      <c r="D41" s="17"/>
      <c r="E41" s="17"/>
      <c r="F41" s="17"/>
      <c r="G41" s="17"/>
      <c r="H41" s="2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8"/>
      <c r="AC41" s="17"/>
      <c r="AD41" s="17"/>
      <c r="AE41" s="17"/>
      <c r="AF41" s="17"/>
      <c r="AG41" s="17"/>
      <c r="AH41" s="17"/>
      <c r="AI41" s="17"/>
      <c r="AJ41" s="17"/>
      <c r="AK41" s="43"/>
      <c r="AL41" s="77"/>
    </row>
    <row r="42" spans="1:38" ht="12.75" customHeight="1">
      <c r="B42" s="44" t="s">
        <v>84</v>
      </c>
      <c r="C42" s="82"/>
      <c r="D42" s="82"/>
      <c r="E42" s="82"/>
      <c r="F42" s="82"/>
      <c r="G42" s="82"/>
      <c r="H42" s="27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32">
        <f>F42</f>
        <v>0</v>
      </c>
      <c r="U42" s="82"/>
      <c r="V42" s="82"/>
      <c r="W42" s="82"/>
      <c r="X42" s="32">
        <f>G42</f>
        <v>0</v>
      </c>
      <c r="Y42" s="82"/>
      <c r="Z42" s="82"/>
      <c r="AA42" s="82"/>
      <c r="AB42" s="132"/>
      <c r="AC42" s="32">
        <f>T42</f>
        <v>0</v>
      </c>
      <c r="AD42" s="32">
        <f>U42</f>
        <v>0</v>
      </c>
      <c r="AE42" s="32">
        <f>V42</f>
        <v>0</v>
      </c>
      <c r="AF42" s="32">
        <f>W42</f>
        <v>0</v>
      </c>
      <c r="AG42" s="32">
        <f>X42</f>
        <v>0</v>
      </c>
      <c r="AH42" s="32">
        <f>Y42</f>
        <v>0</v>
      </c>
      <c r="AI42" s="32">
        <f>Z42</f>
        <v>0</v>
      </c>
      <c r="AJ42" s="32">
        <f>AA42</f>
        <v>0</v>
      </c>
      <c r="AK42" s="43"/>
      <c r="AL42" s="75" t="e">
        <f>SUM(AJ42/AF42)-1</f>
        <v>#DIV/0!</v>
      </c>
    </row>
    <row r="43" spans="1:38" ht="12.75" customHeight="1">
      <c r="B43" s="13" t="s">
        <v>62</v>
      </c>
      <c r="C43" s="144" t="e">
        <f>C39/C42</f>
        <v>#DIV/0!</v>
      </c>
      <c r="D43" s="144" t="e">
        <f t="shared" ref="D43:G43" si="192">D39/D42</f>
        <v>#DIV/0!</v>
      </c>
      <c r="E43" s="144" t="e">
        <f t="shared" si="192"/>
        <v>#DIV/0!</v>
      </c>
      <c r="F43" s="144" t="e">
        <f t="shared" si="192"/>
        <v>#DIV/0!</v>
      </c>
      <c r="G43" s="144" t="e">
        <f t="shared" si="192"/>
        <v>#DIV/0!</v>
      </c>
      <c r="H43" s="27"/>
      <c r="I43" s="144" t="e">
        <f t="shared" ref="I43" si="193">I39/I42</f>
        <v>#DIV/0!</v>
      </c>
      <c r="J43" s="144" t="e">
        <f t="shared" ref="J43" si="194">J39/J42</f>
        <v>#DIV/0!</v>
      </c>
      <c r="K43" s="144" t="e">
        <f t="shared" ref="K43" si="195">K39/K42</f>
        <v>#DIV/0!</v>
      </c>
      <c r="L43" s="144" t="e">
        <f t="shared" ref="L43" si="196">L39/L42</f>
        <v>#DIV/0!</v>
      </c>
      <c r="M43" s="144" t="e">
        <f t="shared" ref="M43" si="197">M39/M42</f>
        <v>#DIV/0!</v>
      </c>
      <c r="N43" s="144" t="e">
        <f t="shared" ref="N43" si="198">N39/N42</f>
        <v>#DIV/0!</v>
      </c>
      <c r="O43" s="144" t="e">
        <f t="shared" ref="O43" si="199">O39/O42</f>
        <v>#DIV/0!</v>
      </c>
      <c r="P43" s="144" t="e">
        <f t="shared" ref="P43" si="200">P39/P42</f>
        <v>#DIV/0!</v>
      </c>
      <c r="Q43" s="144" t="e">
        <f t="shared" ref="Q43" si="201">Q39/Q42</f>
        <v>#DIV/0!</v>
      </c>
      <c r="R43" s="144" t="e">
        <f t="shared" ref="R43" si="202">R39/R42</f>
        <v>#DIV/0!</v>
      </c>
      <c r="S43" s="144" t="e">
        <f t="shared" ref="S43" si="203">S39/S42</f>
        <v>#DIV/0!</v>
      </c>
      <c r="T43" s="144" t="e">
        <f t="shared" ref="T43" si="204">T39/T42</f>
        <v>#DIV/0!</v>
      </c>
      <c r="U43" s="144" t="e">
        <f t="shared" ref="U43" si="205">U39/U42</f>
        <v>#DIV/0!</v>
      </c>
      <c r="V43" s="144" t="e">
        <f t="shared" ref="V43" si="206">V39/V42</f>
        <v>#DIV/0!</v>
      </c>
      <c r="W43" s="144" t="e">
        <f t="shared" ref="W43" si="207">W39/W42</f>
        <v>#DIV/0!</v>
      </c>
      <c r="X43" s="144" t="e">
        <f t="shared" ref="X43" si="208">X39/X42</f>
        <v>#DIV/0!</v>
      </c>
      <c r="Y43" s="144" t="e">
        <f t="shared" ref="Y43" si="209">Y39/Y42</f>
        <v>#DIV/0!</v>
      </c>
      <c r="Z43" s="144" t="e">
        <f t="shared" ref="Z43" si="210">Z39/Z42</f>
        <v>#DIV/0!</v>
      </c>
      <c r="AA43" s="144" t="e">
        <f t="shared" ref="AA43" si="211">AA39/AA42</f>
        <v>#DIV/0!</v>
      </c>
      <c r="AB43" s="132"/>
      <c r="AC43" s="144" t="e">
        <f t="shared" ref="AC43" si="212">AC39/AC42</f>
        <v>#DIV/0!</v>
      </c>
      <c r="AD43" s="144" t="e">
        <f t="shared" ref="AD43" si="213">AD39/AD42</f>
        <v>#DIV/0!</v>
      </c>
      <c r="AE43" s="144" t="e">
        <f t="shared" ref="AE43" si="214">AE39/AE42</f>
        <v>#DIV/0!</v>
      </c>
      <c r="AF43" s="144" t="e">
        <f t="shared" ref="AF43" si="215">AF39/AF42</f>
        <v>#DIV/0!</v>
      </c>
      <c r="AG43" s="144" t="e">
        <f t="shared" ref="AG43" si="216">AG39/AG42</f>
        <v>#DIV/0!</v>
      </c>
      <c r="AH43" s="144" t="e">
        <f t="shared" ref="AH43" si="217">AH39/AH42</f>
        <v>#DIV/0!</v>
      </c>
      <c r="AI43" s="144" t="e">
        <f t="shared" ref="AI43" si="218">AI39/AI42</f>
        <v>#DIV/0!</v>
      </c>
      <c r="AJ43" s="144" t="e">
        <f t="shared" ref="AJ43" si="219">AJ39/AJ42</f>
        <v>#DIV/0!</v>
      </c>
      <c r="AK43" s="43"/>
      <c r="AL43" s="76" t="e">
        <f>SUM(AJ43/AF43)-1</f>
        <v>#DIV/0!</v>
      </c>
    </row>
    <row r="44" spans="1:38" ht="12.75" customHeight="1">
      <c r="B44" s="25"/>
      <c r="C44" s="48"/>
      <c r="D44" s="48"/>
      <c r="E44" s="48"/>
      <c r="F44" s="48"/>
      <c r="G44" s="48"/>
      <c r="H44" s="143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132"/>
      <c r="AC44" s="132"/>
      <c r="AD44" s="132"/>
      <c r="AE44" s="132"/>
      <c r="AF44" s="48"/>
      <c r="AG44" s="132"/>
      <c r="AH44" s="132"/>
      <c r="AI44" s="132"/>
      <c r="AJ44" s="132"/>
      <c r="AK44" s="43"/>
      <c r="AL44" s="75"/>
    </row>
    <row r="45" spans="1:38" ht="12.75" customHeight="1">
      <c r="B45" s="44" t="s">
        <v>63</v>
      </c>
      <c r="C45" s="82"/>
      <c r="D45" s="82"/>
      <c r="E45" s="82"/>
      <c r="F45" s="82"/>
      <c r="G45" s="82"/>
      <c r="H45" s="143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32">
        <f>F45</f>
        <v>0</v>
      </c>
      <c r="U45" s="82"/>
      <c r="V45" s="82"/>
      <c r="W45" s="82"/>
      <c r="X45" s="32">
        <f>G45</f>
        <v>0</v>
      </c>
      <c r="Y45" s="82"/>
      <c r="Z45" s="82"/>
      <c r="AA45" s="82"/>
      <c r="AB45" s="132"/>
      <c r="AC45" s="32">
        <f>T45</f>
        <v>0</v>
      </c>
      <c r="AD45" s="32">
        <f>U45</f>
        <v>0</v>
      </c>
      <c r="AE45" s="32">
        <f>V45</f>
        <v>0</v>
      </c>
      <c r="AF45" s="32">
        <f>W45</f>
        <v>0</v>
      </c>
      <c r="AG45" s="32">
        <f>X45</f>
        <v>0</v>
      </c>
      <c r="AH45" s="32">
        <f>Y45</f>
        <v>0</v>
      </c>
      <c r="AI45" s="32">
        <f>Z45</f>
        <v>0</v>
      </c>
      <c r="AJ45" s="32">
        <f>AA45</f>
        <v>0</v>
      </c>
      <c r="AK45" s="43"/>
      <c r="AL45" s="75" t="e">
        <f>SUM(AJ45/AF45)-1</f>
        <v>#DIV/0!</v>
      </c>
    </row>
    <row r="46" spans="1:38" ht="12.75" customHeight="1">
      <c r="B46" s="13" t="s">
        <v>83</v>
      </c>
      <c r="C46" s="144" t="e">
        <f>C39/C45</f>
        <v>#DIV/0!</v>
      </c>
      <c r="D46" s="144" t="e">
        <f t="shared" ref="D46:G46" si="220">D39/D45</f>
        <v>#DIV/0!</v>
      </c>
      <c r="E46" s="144" t="e">
        <f t="shared" si="220"/>
        <v>#DIV/0!</v>
      </c>
      <c r="F46" s="144" t="e">
        <f t="shared" si="220"/>
        <v>#DIV/0!</v>
      </c>
      <c r="G46" s="144" t="e">
        <f t="shared" si="220"/>
        <v>#DIV/0!</v>
      </c>
      <c r="H46" s="27"/>
      <c r="I46" s="144" t="e">
        <f t="shared" ref="I46" si="221">I39/I45</f>
        <v>#DIV/0!</v>
      </c>
      <c r="J46" s="144" t="e">
        <f t="shared" ref="J46" si="222">J39/J45</f>
        <v>#DIV/0!</v>
      </c>
      <c r="K46" s="144" t="e">
        <f t="shared" ref="K46" si="223">K39/K45</f>
        <v>#DIV/0!</v>
      </c>
      <c r="L46" s="144" t="e">
        <f t="shared" ref="L46" si="224">L39/L45</f>
        <v>#DIV/0!</v>
      </c>
      <c r="M46" s="144" t="e">
        <f t="shared" ref="M46" si="225">M39/M45</f>
        <v>#DIV/0!</v>
      </c>
      <c r="N46" s="144" t="e">
        <f t="shared" ref="N46" si="226">N39/N45</f>
        <v>#DIV/0!</v>
      </c>
      <c r="O46" s="144" t="e">
        <f t="shared" ref="O46" si="227">O39/O45</f>
        <v>#DIV/0!</v>
      </c>
      <c r="P46" s="144" t="e">
        <f t="shared" ref="P46" si="228">P39/P45</f>
        <v>#DIV/0!</v>
      </c>
      <c r="Q46" s="144" t="e">
        <f t="shared" ref="Q46" si="229">Q39/Q45</f>
        <v>#DIV/0!</v>
      </c>
      <c r="R46" s="144" t="e">
        <f t="shared" ref="R46" si="230">R39/R45</f>
        <v>#DIV/0!</v>
      </c>
      <c r="S46" s="144" t="e">
        <f t="shared" ref="S46" si="231">S39/S45</f>
        <v>#DIV/0!</v>
      </c>
      <c r="T46" s="144" t="e">
        <f t="shared" ref="T46" si="232">T39/T45</f>
        <v>#DIV/0!</v>
      </c>
      <c r="U46" s="144" t="e">
        <f t="shared" ref="U46" si="233">U39/U45</f>
        <v>#DIV/0!</v>
      </c>
      <c r="V46" s="144" t="e">
        <f t="shared" ref="V46" si="234">V39/V45</f>
        <v>#DIV/0!</v>
      </c>
      <c r="W46" s="144" t="e">
        <f t="shared" ref="W46" si="235">W39/W45</f>
        <v>#DIV/0!</v>
      </c>
      <c r="X46" s="144" t="e">
        <f t="shared" ref="X46" si="236">X39/X45</f>
        <v>#DIV/0!</v>
      </c>
      <c r="Y46" s="144" t="e">
        <f t="shared" ref="Y46" si="237">Y39/Y45</f>
        <v>#DIV/0!</v>
      </c>
      <c r="Z46" s="144" t="e">
        <f t="shared" ref="Z46" si="238">Z39/Z45</f>
        <v>#DIV/0!</v>
      </c>
      <c r="AA46" s="144" t="e">
        <f t="shared" ref="AA46" si="239">AA39/AA45</f>
        <v>#DIV/0!</v>
      </c>
      <c r="AB46" s="132"/>
      <c r="AC46" s="144" t="e">
        <f t="shared" ref="AC46" si="240">AC39/AC45</f>
        <v>#DIV/0!</v>
      </c>
      <c r="AD46" s="144" t="e">
        <f t="shared" ref="AD46" si="241">AD39/AD45</f>
        <v>#DIV/0!</v>
      </c>
      <c r="AE46" s="144" t="e">
        <f t="shared" ref="AE46" si="242">AE39/AE45</f>
        <v>#DIV/0!</v>
      </c>
      <c r="AF46" s="144" t="e">
        <f t="shared" ref="AF46" si="243">AF39/AF45</f>
        <v>#DIV/0!</v>
      </c>
      <c r="AG46" s="144" t="e">
        <f t="shared" ref="AG46" si="244">AG39/AG45</f>
        <v>#DIV/0!</v>
      </c>
      <c r="AH46" s="144" t="e">
        <f t="shared" ref="AH46" si="245">AH39/AH45</f>
        <v>#DIV/0!</v>
      </c>
      <c r="AI46" s="144" t="e">
        <f t="shared" ref="AI46" si="246">AI39/AI45</f>
        <v>#DIV/0!</v>
      </c>
      <c r="AJ46" s="144" t="e">
        <f t="shared" ref="AJ46" si="247">AJ39/AJ45</f>
        <v>#DIV/0!</v>
      </c>
      <c r="AK46" s="43"/>
      <c r="AL46" s="76" t="e">
        <f>SUM(AJ46/AF46)-1</f>
        <v>#DIV/0!</v>
      </c>
    </row>
    <row r="47" spans="1:38">
      <c r="B47" s="16"/>
      <c r="C47" s="17"/>
      <c r="D47" s="17"/>
      <c r="E47" s="17"/>
      <c r="F47" s="17"/>
      <c r="G47" s="17"/>
      <c r="H47" s="2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28"/>
      <c r="AC47" s="17"/>
      <c r="AD47" s="17"/>
      <c r="AE47" s="17"/>
      <c r="AF47" s="17"/>
      <c r="AG47" s="17"/>
      <c r="AH47" s="17"/>
      <c r="AI47" s="17"/>
      <c r="AJ47" s="17"/>
      <c r="AK47" s="43"/>
    </row>
    <row r="48" spans="1:38" ht="12.75" customHeight="1">
      <c r="A48" s="5" t="s">
        <v>16</v>
      </c>
      <c r="B48" s="106" t="s">
        <v>73</v>
      </c>
      <c r="C48" s="107"/>
      <c r="D48" s="107"/>
      <c r="E48" s="107"/>
      <c r="F48" s="107"/>
      <c r="G48" s="107"/>
      <c r="H48" s="108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6"/>
      <c r="AC48" s="107"/>
      <c r="AD48" s="107"/>
      <c r="AE48" s="107" t="s">
        <v>10</v>
      </c>
      <c r="AF48" s="107"/>
      <c r="AG48" s="107"/>
      <c r="AH48" s="107"/>
      <c r="AI48" s="107"/>
      <c r="AJ48" s="107"/>
      <c r="AK48" s="108"/>
      <c r="AL48" s="163" t="s">
        <v>22</v>
      </c>
    </row>
    <row r="49" spans="2:38" ht="12.75" customHeight="1">
      <c r="B49" s="110" t="str">
        <f>B7</f>
        <v>Fiscal Period</v>
      </c>
      <c r="C49" s="109">
        <f>C7</f>
        <v>2020</v>
      </c>
      <c r="D49" s="109">
        <f>D7</f>
        <v>2021</v>
      </c>
      <c r="E49" s="109">
        <f>E7</f>
        <v>2022</v>
      </c>
      <c r="F49" s="109">
        <f>F7</f>
        <v>2023</v>
      </c>
      <c r="G49" s="109">
        <f>G7</f>
        <v>2024</v>
      </c>
      <c r="H49" s="108"/>
      <c r="I49" s="109" t="str">
        <f>I7</f>
        <v>1Q21</v>
      </c>
      <c r="J49" s="109" t="str">
        <f>J7</f>
        <v>2Q21</v>
      </c>
      <c r="K49" s="109" t="str">
        <f>K7</f>
        <v>3Q21</v>
      </c>
      <c r="L49" s="109" t="str">
        <f>L7</f>
        <v>4Q21</v>
      </c>
      <c r="M49" s="109" t="str">
        <f>M7</f>
        <v>1Q22</v>
      </c>
      <c r="N49" s="109" t="str">
        <f>N7</f>
        <v>2Q22</v>
      </c>
      <c r="O49" s="109" t="str">
        <f>O7</f>
        <v>3Q22</v>
      </c>
      <c r="P49" s="109" t="str">
        <f>P7</f>
        <v>4Q22</v>
      </c>
      <c r="Q49" s="109" t="str">
        <f>Q7</f>
        <v>1Q23</v>
      </c>
      <c r="R49" s="109" t="str">
        <f>R7</f>
        <v>2Q23</v>
      </c>
      <c r="S49" s="109" t="str">
        <f>S7</f>
        <v>3Q23</v>
      </c>
      <c r="T49" s="109" t="str">
        <f>T7</f>
        <v>4Q23</v>
      </c>
      <c r="U49" s="109" t="str">
        <f>U7</f>
        <v>1Q24</v>
      </c>
      <c r="V49" s="109" t="str">
        <f>V7</f>
        <v>2Q24</v>
      </c>
      <c r="W49" s="109" t="str">
        <f>W7</f>
        <v>3Q24</v>
      </c>
      <c r="X49" s="109" t="str">
        <f>X7</f>
        <v>4Q24</v>
      </c>
      <c r="Y49" s="109" t="str">
        <f>Y7</f>
        <v>1Q25</v>
      </c>
      <c r="Z49" s="109" t="str">
        <f>Z7</f>
        <v>2Q25</v>
      </c>
      <c r="AA49" s="109" t="str">
        <f>AA7</f>
        <v>3Q25</v>
      </c>
      <c r="AB49" s="111"/>
      <c r="AC49" s="109" t="str">
        <f>AC7</f>
        <v>4Q23</v>
      </c>
      <c r="AD49" s="109" t="str">
        <f>AD7</f>
        <v>1Q24</v>
      </c>
      <c r="AE49" s="109" t="str">
        <f>AE7</f>
        <v>2Q24</v>
      </c>
      <c r="AF49" s="109" t="str">
        <f>AF7</f>
        <v>3Q24</v>
      </c>
      <c r="AG49" s="109" t="str">
        <f>AG7</f>
        <v>4Q24</v>
      </c>
      <c r="AH49" s="109" t="str">
        <f>AH7</f>
        <v>1Q25</v>
      </c>
      <c r="AI49" s="109" t="str">
        <f>AI7</f>
        <v>2Q25</v>
      </c>
      <c r="AJ49" s="109" t="str">
        <f>AJ7</f>
        <v>3Q25</v>
      </c>
      <c r="AK49" s="108"/>
      <c r="AL49" s="163"/>
    </row>
    <row r="50" spans="2:38" ht="12.75" customHeight="1">
      <c r="B50" s="110" t="str">
        <f>B8</f>
        <v>Fiscal Period End Date</v>
      </c>
      <c r="C50" s="112">
        <f>C8</f>
        <v>0</v>
      </c>
      <c r="D50" s="112">
        <f>D8</f>
        <v>0</v>
      </c>
      <c r="E50" s="112">
        <f>E8</f>
        <v>0</v>
      </c>
      <c r="F50" s="112">
        <f>F8</f>
        <v>0</v>
      </c>
      <c r="G50" s="112">
        <f>G8</f>
        <v>0</v>
      </c>
      <c r="H50" s="108"/>
      <c r="I50" s="112">
        <f>I8</f>
        <v>0</v>
      </c>
      <c r="J50" s="112">
        <f>J8</f>
        <v>0</v>
      </c>
      <c r="K50" s="112">
        <f>K8</f>
        <v>0</v>
      </c>
      <c r="L50" s="112">
        <f>L8</f>
        <v>0</v>
      </c>
      <c r="M50" s="112">
        <f>M8</f>
        <v>0</v>
      </c>
      <c r="N50" s="112">
        <f>N8</f>
        <v>0</v>
      </c>
      <c r="O50" s="112">
        <f>O8</f>
        <v>0</v>
      </c>
      <c r="P50" s="112">
        <f>P8</f>
        <v>0</v>
      </c>
      <c r="Q50" s="112">
        <f>Q8</f>
        <v>0</v>
      </c>
      <c r="R50" s="112">
        <f>R8</f>
        <v>0</v>
      </c>
      <c r="S50" s="112">
        <f>S8</f>
        <v>0</v>
      </c>
      <c r="T50" s="112">
        <f>T8</f>
        <v>0</v>
      </c>
      <c r="U50" s="112">
        <f>U8</f>
        <v>0</v>
      </c>
      <c r="V50" s="112">
        <f>V8</f>
        <v>0</v>
      </c>
      <c r="W50" s="112">
        <f>W8</f>
        <v>0</v>
      </c>
      <c r="X50" s="112">
        <f>X8</f>
        <v>0</v>
      </c>
      <c r="Y50" s="112">
        <f>Y8</f>
        <v>0</v>
      </c>
      <c r="Z50" s="112">
        <f>Z8</f>
        <v>0</v>
      </c>
      <c r="AA50" s="112">
        <f>AA8</f>
        <v>0</v>
      </c>
      <c r="AB50" s="113"/>
      <c r="AC50" s="112">
        <f>AC8</f>
        <v>0</v>
      </c>
      <c r="AD50" s="112">
        <f>AD8</f>
        <v>0</v>
      </c>
      <c r="AE50" s="112">
        <f>AE8</f>
        <v>0</v>
      </c>
      <c r="AF50" s="112">
        <f>AF8</f>
        <v>0</v>
      </c>
      <c r="AG50" s="112">
        <f>AG8</f>
        <v>0</v>
      </c>
      <c r="AH50" s="112">
        <f>AH8</f>
        <v>0</v>
      </c>
      <c r="AI50" s="112">
        <f>AI8</f>
        <v>0</v>
      </c>
      <c r="AJ50" s="112">
        <f>AJ8</f>
        <v>0</v>
      </c>
      <c r="AK50" s="108"/>
      <c r="AL50" s="163"/>
    </row>
    <row r="51" spans="2:38" ht="5.0999999999999996" customHeight="1">
      <c r="B51" s="46"/>
      <c r="C51" s="47"/>
      <c r="D51" s="47"/>
      <c r="E51" s="47"/>
      <c r="F51" s="47"/>
      <c r="G51" s="47"/>
    </row>
    <row r="52" spans="2:38">
      <c r="B52" s="78" t="s">
        <v>78</v>
      </c>
      <c r="C52" s="47"/>
      <c r="D52" s="47"/>
      <c r="E52" s="47"/>
      <c r="F52" s="47"/>
      <c r="G52" s="47"/>
    </row>
    <row r="53" spans="2:38" s="122" customFormat="1" ht="12.75" customHeight="1">
      <c r="B53" s="114" t="s">
        <v>209</v>
      </c>
      <c r="C53" s="123">
        <v>1734</v>
      </c>
      <c r="D53" s="123">
        <v>1925</v>
      </c>
      <c r="E53" s="123">
        <v>928</v>
      </c>
      <c r="F53" s="123">
        <v>866</v>
      </c>
      <c r="G53" s="123">
        <v>414</v>
      </c>
      <c r="I53" s="82">
        <v>2016</v>
      </c>
      <c r="J53" s="82">
        <v>2675</v>
      </c>
      <c r="K53" s="82">
        <v>1947</v>
      </c>
      <c r="L53" s="82">
        <v>1925</v>
      </c>
      <c r="M53" s="82">
        <v>325</v>
      </c>
      <c r="N53" s="82">
        <v>276</v>
      </c>
      <c r="O53" s="82">
        <v>339</v>
      </c>
      <c r="P53" s="82">
        <v>928</v>
      </c>
      <c r="Q53" s="82">
        <v>570</v>
      </c>
      <c r="R53" s="82">
        <v>426</v>
      </c>
      <c r="S53" s="82">
        <v>952</v>
      </c>
      <c r="T53" s="32">
        <v>866</v>
      </c>
      <c r="U53" s="82">
        <v>2329</v>
      </c>
      <c r="V53" s="82">
        <v>2913</v>
      </c>
      <c r="W53" s="82">
        <v>2502</v>
      </c>
      <c r="X53" s="32">
        <v>414</v>
      </c>
      <c r="Y53" s="82">
        <v>725</v>
      </c>
      <c r="Z53" s="82">
        <v>534</v>
      </c>
      <c r="AA53" s="82">
        <v>1275</v>
      </c>
      <c r="AC53" s="96">
        <f>T53</f>
        <v>866</v>
      </c>
      <c r="AD53" s="96">
        <f>U53</f>
        <v>2329</v>
      </c>
      <c r="AE53" s="96">
        <f>V53</f>
        <v>2913</v>
      </c>
      <c r="AF53" s="96">
        <f>W53</f>
        <v>2502</v>
      </c>
      <c r="AG53" s="96">
        <f>X53</f>
        <v>414</v>
      </c>
      <c r="AH53" s="96">
        <f>Y53</f>
        <v>725</v>
      </c>
      <c r="AI53" s="96">
        <f>Z53</f>
        <v>534</v>
      </c>
      <c r="AJ53" s="96">
        <f>AA53</f>
        <v>1275</v>
      </c>
      <c r="AK53" s="124"/>
      <c r="AL53" s="75">
        <f>SUM(AJ53/AF53)-1</f>
        <v>-0.49040767386091122</v>
      </c>
    </row>
    <row r="54" spans="2:38" s="122" customFormat="1" ht="12.75" customHeight="1">
      <c r="B54" s="114" t="s">
        <v>167</v>
      </c>
      <c r="C54" s="123">
        <v>1531</v>
      </c>
      <c r="D54" s="123">
        <v>1778</v>
      </c>
      <c r="E54" s="123">
        <v>1970</v>
      </c>
      <c r="F54" s="123">
        <v>2229</v>
      </c>
      <c r="G54" s="123">
        <v>2558</v>
      </c>
      <c r="I54" s="82">
        <v>1631</v>
      </c>
      <c r="J54" s="82">
        <v>1675</v>
      </c>
      <c r="K54" s="82">
        <v>1669</v>
      </c>
      <c r="L54" s="82">
        <v>1778</v>
      </c>
      <c r="M54" s="82">
        <v>1866</v>
      </c>
      <c r="N54" s="82">
        <v>1917</v>
      </c>
      <c r="O54" s="82">
        <v>1871</v>
      </c>
      <c r="P54" s="82">
        <v>1970</v>
      </c>
      <c r="Q54" s="82">
        <v>2076</v>
      </c>
      <c r="R54" s="82">
        <v>2134</v>
      </c>
      <c r="S54" s="82">
        <v>2101</v>
      </c>
      <c r="T54" s="32">
        <v>2229</v>
      </c>
      <c r="U54" s="82">
        <v>2304</v>
      </c>
      <c r="V54" s="82">
        <v>2400</v>
      </c>
      <c r="W54" s="82">
        <v>2501</v>
      </c>
      <c r="X54" s="32">
        <v>2558</v>
      </c>
      <c r="Y54" s="82">
        <v>2693</v>
      </c>
      <c r="Z54" s="82">
        <v>2815</v>
      </c>
      <c r="AA54" s="82">
        <v>2828</v>
      </c>
      <c r="AC54" s="96">
        <f t="shared" ref="AC54" si="248">T54</f>
        <v>2229</v>
      </c>
      <c r="AD54" s="96">
        <f t="shared" ref="AD54" si="249">U54</f>
        <v>2304</v>
      </c>
      <c r="AE54" s="96">
        <f t="shared" ref="AE54" si="250">V54</f>
        <v>2400</v>
      </c>
      <c r="AF54" s="96">
        <f t="shared" ref="AF54" si="251">W54</f>
        <v>2501</v>
      </c>
      <c r="AG54" s="96">
        <f t="shared" ref="AG54" si="252">X54</f>
        <v>2558</v>
      </c>
      <c r="AH54" s="96">
        <f t="shared" ref="AH54" si="253">Y54</f>
        <v>2693</v>
      </c>
      <c r="AI54" s="96">
        <f t="shared" ref="AI54" si="254">Z54</f>
        <v>2815</v>
      </c>
      <c r="AJ54" s="96">
        <f t="shared" ref="AJ54" si="255">AA54</f>
        <v>2828</v>
      </c>
      <c r="AK54" s="124"/>
      <c r="AL54" s="75">
        <f t="shared" ref="AL54" si="256">SUM(AJ54/AF54)-1</f>
        <v>0.13074770091963206</v>
      </c>
    </row>
    <row r="55" spans="2:38" s="122" customFormat="1" ht="12.75" customHeight="1">
      <c r="B55" s="114" t="s">
        <v>106</v>
      </c>
      <c r="C55" s="123">
        <v>1351</v>
      </c>
      <c r="D55" s="123">
        <v>1610</v>
      </c>
      <c r="E55" s="123">
        <v>1867</v>
      </c>
      <c r="F55" s="123">
        <v>2484</v>
      </c>
      <c r="G55" s="123">
        <v>2810</v>
      </c>
      <c r="I55" s="82">
        <v>1407</v>
      </c>
      <c r="J55" s="82">
        <v>1430</v>
      </c>
      <c r="K55" s="82">
        <v>1603</v>
      </c>
      <c r="L55" s="82">
        <v>1610</v>
      </c>
      <c r="M55" s="82">
        <v>1736</v>
      </c>
      <c r="N55" s="82">
        <v>1752</v>
      </c>
      <c r="O55" s="82">
        <v>1788</v>
      </c>
      <c r="P55" s="82">
        <v>1867</v>
      </c>
      <c r="Q55" s="82">
        <v>2050</v>
      </c>
      <c r="R55" s="82">
        <v>2250</v>
      </c>
      <c r="S55" s="82">
        <v>2404</v>
      </c>
      <c r="T55" s="32">
        <v>2484</v>
      </c>
      <c r="U55" s="82">
        <v>2561</v>
      </c>
      <c r="V55" s="82">
        <v>2608</v>
      </c>
      <c r="W55" s="82">
        <v>2753</v>
      </c>
      <c r="X55" s="32">
        <v>2810</v>
      </c>
      <c r="Y55" s="82">
        <v>2867</v>
      </c>
      <c r="Z55" s="82">
        <v>2861</v>
      </c>
      <c r="AA55" s="82">
        <v>2921</v>
      </c>
      <c r="AC55" s="96">
        <f>T55</f>
        <v>2484</v>
      </c>
      <c r="AD55" s="96">
        <f>U55</f>
        <v>2561</v>
      </c>
      <c r="AE55" s="96">
        <f>V55</f>
        <v>2608</v>
      </c>
      <c r="AF55" s="96">
        <f>W55</f>
        <v>2753</v>
      </c>
      <c r="AG55" s="96">
        <f>X55</f>
        <v>2810</v>
      </c>
      <c r="AH55" s="96">
        <f>Y55</f>
        <v>2867</v>
      </c>
      <c r="AI55" s="96">
        <f>Z55</f>
        <v>2861</v>
      </c>
      <c r="AJ55" s="96">
        <f>AA55</f>
        <v>2921</v>
      </c>
      <c r="AK55" s="124"/>
      <c r="AL55" s="75">
        <f t="shared" ref="AL55" si="257">SUM(AJ55/AF55)-1</f>
        <v>6.1024337086814429E-2</v>
      </c>
    </row>
    <row r="56" spans="2:38" s="122" customFormat="1" ht="12.75" customHeight="1">
      <c r="B56" s="114" t="s">
        <v>210</v>
      </c>
      <c r="C56" s="123">
        <v>194</v>
      </c>
      <c r="D56" s="123">
        <v>205</v>
      </c>
      <c r="E56" s="123">
        <v>264</v>
      </c>
      <c r="F56" s="123">
        <v>315</v>
      </c>
      <c r="G56" s="123">
        <v>307</v>
      </c>
      <c r="I56" s="82">
        <v>192</v>
      </c>
      <c r="J56" s="82">
        <v>202</v>
      </c>
      <c r="K56" s="82">
        <v>217</v>
      </c>
      <c r="L56" s="82">
        <v>205</v>
      </c>
      <c r="M56" s="82">
        <v>249</v>
      </c>
      <c r="N56" s="82">
        <v>264</v>
      </c>
      <c r="O56" s="82">
        <v>262</v>
      </c>
      <c r="P56" s="82">
        <v>264</v>
      </c>
      <c r="Q56" s="82">
        <v>296</v>
      </c>
      <c r="R56" s="82">
        <v>303</v>
      </c>
      <c r="S56" s="82">
        <v>307</v>
      </c>
      <c r="T56" s="32">
        <v>315</v>
      </c>
      <c r="U56" s="82">
        <v>319</v>
      </c>
      <c r="V56" s="82">
        <v>315</v>
      </c>
      <c r="W56" s="82">
        <v>332</v>
      </c>
      <c r="X56" s="32">
        <v>307</v>
      </c>
      <c r="Y56" s="82">
        <v>294</v>
      </c>
      <c r="Z56" s="82">
        <v>298</v>
      </c>
      <c r="AA56" s="82">
        <v>310</v>
      </c>
      <c r="AC56" s="96">
        <f>T56</f>
        <v>315</v>
      </c>
      <c r="AD56" s="96">
        <f>U56</f>
        <v>319</v>
      </c>
      <c r="AE56" s="96">
        <f>V56</f>
        <v>315</v>
      </c>
      <c r="AF56" s="96">
        <f>W56</f>
        <v>332</v>
      </c>
      <c r="AG56" s="96">
        <f>X56</f>
        <v>307</v>
      </c>
      <c r="AH56" s="96">
        <f>Y56</f>
        <v>294</v>
      </c>
      <c r="AI56" s="96">
        <f>Z56</f>
        <v>298</v>
      </c>
      <c r="AJ56" s="96">
        <f>AA56</f>
        <v>310</v>
      </c>
      <c r="AK56" s="124"/>
      <c r="AL56" s="75">
        <f t="shared" ref="AL56" si="258">SUM(AJ56/AF56)-1</f>
        <v>-6.6265060240963902E-2</v>
      </c>
    </row>
    <row r="57" spans="2:38" s="122" customFormat="1" ht="12.75" customHeight="1">
      <c r="B57" s="114" t="s">
        <v>211</v>
      </c>
      <c r="C57" s="123">
        <v>1133</v>
      </c>
      <c r="D57" s="123">
        <v>0</v>
      </c>
      <c r="E57" s="123">
        <v>0</v>
      </c>
      <c r="F57" s="123">
        <v>0</v>
      </c>
      <c r="G57" s="123">
        <v>0</v>
      </c>
      <c r="I57" s="82">
        <v>0</v>
      </c>
      <c r="J57" s="82">
        <v>0</v>
      </c>
      <c r="K57" s="82">
        <v>0</v>
      </c>
      <c r="L57" s="82">
        <v>0</v>
      </c>
      <c r="M57" s="82">
        <v>0</v>
      </c>
      <c r="N57" s="82">
        <v>0</v>
      </c>
      <c r="O57" s="82">
        <v>0</v>
      </c>
      <c r="P57" s="82">
        <v>0</v>
      </c>
      <c r="Q57" s="82">
        <v>0</v>
      </c>
      <c r="R57" s="82">
        <v>0</v>
      </c>
      <c r="S57" s="82">
        <v>0</v>
      </c>
      <c r="T57" s="32">
        <v>0</v>
      </c>
      <c r="U57" s="82">
        <v>0</v>
      </c>
      <c r="V57" s="82">
        <v>0</v>
      </c>
      <c r="W57" s="82">
        <v>0</v>
      </c>
      <c r="X57" s="32">
        <v>0</v>
      </c>
      <c r="Y57" s="82">
        <v>0</v>
      </c>
      <c r="Z57" s="82">
        <v>0</v>
      </c>
      <c r="AA57" s="82">
        <v>0</v>
      </c>
      <c r="AC57" s="96">
        <f t="shared" ref="AC57:AJ57" si="259">T57</f>
        <v>0</v>
      </c>
      <c r="AD57" s="96">
        <f t="shared" si="259"/>
        <v>0</v>
      </c>
      <c r="AE57" s="96">
        <f t="shared" si="259"/>
        <v>0</v>
      </c>
      <c r="AF57" s="96">
        <f t="shared" si="259"/>
        <v>0</v>
      </c>
      <c r="AG57" s="96">
        <f t="shared" si="259"/>
        <v>0</v>
      </c>
      <c r="AH57" s="96">
        <f t="shared" si="259"/>
        <v>0</v>
      </c>
      <c r="AI57" s="96">
        <f t="shared" si="259"/>
        <v>0</v>
      </c>
      <c r="AJ57" s="96">
        <f t="shared" si="259"/>
        <v>0</v>
      </c>
      <c r="AK57" s="124"/>
      <c r="AL57" s="75" t="e">
        <f t="shared" ref="AL57" si="260">SUM(AJ57/AF57)-1</f>
        <v>#DIV/0!</v>
      </c>
    </row>
    <row r="58" spans="2:38" s="122" customFormat="1" ht="12.75" customHeight="1">
      <c r="B58" s="114" t="s">
        <v>212</v>
      </c>
      <c r="C58" s="123">
        <v>751</v>
      </c>
      <c r="D58" s="123">
        <v>799</v>
      </c>
      <c r="E58" s="123">
        <v>731</v>
      </c>
      <c r="F58" s="123">
        <v>621</v>
      </c>
      <c r="G58" s="123">
        <v>831</v>
      </c>
      <c r="I58" s="82">
        <v>855</v>
      </c>
      <c r="J58" s="82">
        <v>777</v>
      </c>
      <c r="K58" s="82">
        <v>792</v>
      </c>
      <c r="L58" s="82">
        <v>799</v>
      </c>
      <c r="M58" s="82">
        <v>889</v>
      </c>
      <c r="N58" s="82">
        <v>874</v>
      </c>
      <c r="O58" s="82">
        <v>884</v>
      </c>
      <c r="P58" s="82">
        <v>731</v>
      </c>
      <c r="Q58" s="82">
        <v>711</v>
      </c>
      <c r="R58" s="82">
        <v>773</v>
      </c>
      <c r="S58" s="82">
        <v>741</v>
      </c>
      <c r="T58" s="32">
        <v>621</v>
      </c>
      <c r="U58" s="82">
        <v>671</v>
      </c>
      <c r="V58" s="82">
        <v>756</v>
      </c>
      <c r="W58" s="82">
        <v>674</v>
      </c>
      <c r="X58" s="32">
        <v>831</v>
      </c>
      <c r="Y58" s="82">
        <v>756</v>
      </c>
      <c r="Z58" s="82">
        <v>613</v>
      </c>
      <c r="AA58" s="82">
        <v>701</v>
      </c>
      <c r="AC58" s="96">
        <f>T58</f>
        <v>621</v>
      </c>
      <c r="AD58" s="96">
        <f>U58</f>
        <v>671</v>
      </c>
      <c r="AE58" s="96">
        <f>V58</f>
        <v>756</v>
      </c>
      <c r="AF58" s="96">
        <f>W58</f>
        <v>674</v>
      </c>
      <c r="AG58" s="96">
        <f>X58</f>
        <v>831</v>
      </c>
      <c r="AH58" s="96">
        <f>Y58</f>
        <v>756</v>
      </c>
      <c r="AI58" s="96">
        <f>Z58</f>
        <v>613</v>
      </c>
      <c r="AJ58" s="96">
        <f>AA58</f>
        <v>701</v>
      </c>
      <c r="AK58" s="124"/>
      <c r="AL58" s="75">
        <f t="shared" ref="AL58" si="261">SUM(AJ58/AF58)-1</f>
        <v>4.0059347181008897E-2</v>
      </c>
    </row>
    <row r="59" spans="2:38" ht="12.75" customHeight="1">
      <c r="B59" s="25" t="s">
        <v>18</v>
      </c>
      <c r="C59" s="26">
        <f t="shared" ref="C59:D59" si="262">SUM(C53:C58)</f>
        <v>6694</v>
      </c>
      <c r="D59" s="26">
        <f t="shared" si="262"/>
        <v>6317</v>
      </c>
      <c r="E59" s="26">
        <f>SUM(E53:E58)</f>
        <v>5760</v>
      </c>
      <c r="F59" s="26">
        <f>SUM(F53:F58)</f>
        <v>6515</v>
      </c>
      <c r="G59" s="26">
        <f>SUM(G53:G58)</f>
        <v>6920</v>
      </c>
      <c r="H59" s="48"/>
      <c r="I59" s="26">
        <f t="shared" ref="I59" si="263">SUM(I53:I58)</f>
        <v>6101</v>
      </c>
      <c r="J59" s="26">
        <f t="shared" ref="J59" si="264">SUM(J53:J58)</f>
        <v>6759</v>
      </c>
      <c r="K59" s="26">
        <f t="shared" ref="K59" si="265">SUM(K53:K58)</f>
        <v>6228</v>
      </c>
      <c r="L59" s="26">
        <f t="shared" ref="L59" si="266">SUM(L53:L58)</f>
        <v>6317</v>
      </c>
      <c r="M59" s="26">
        <f t="shared" ref="M59" si="267">SUM(M53:M58)</f>
        <v>5065</v>
      </c>
      <c r="N59" s="26">
        <f t="shared" ref="N59" si="268">SUM(N53:N58)</f>
        <v>5083</v>
      </c>
      <c r="O59" s="26">
        <f t="shared" ref="O59" si="269">SUM(O53:O58)</f>
        <v>5144</v>
      </c>
      <c r="P59" s="26">
        <f t="shared" ref="P59" si="270">SUM(P53:P58)</f>
        <v>5760</v>
      </c>
      <c r="Q59" s="26">
        <f>SUM(Q53:Q58)</f>
        <v>5703</v>
      </c>
      <c r="R59" s="26">
        <f>SUM(R53:R58)</f>
        <v>5886</v>
      </c>
      <c r="S59" s="26">
        <f>SUM(S53:S58)</f>
        <v>6505</v>
      </c>
      <c r="T59" s="26">
        <f>SUM(T53:T58)</f>
        <v>6515</v>
      </c>
      <c r="U59" s="26">
        <f>SUM(U53:U58)</f>
        <v>8184</v>
      </c>
      <c r="V59" s="26">
        <f>SUM(V53:V58)</f>
        <v>8992</v>
      </c>
      <c r="W59" s="26">
        <f>SUM(W53:W58)</f>
        <v>8762</v>
      </c>
      <c r="X59" s="26">
        <f>SUM(X53:X58)</f>
        <v>6920</v>
      </c>
      <c r="Y59" s="26">
        <f>SUM(Y53:Y58)</f>
        <v>7335</v>
      </c>
      <c r="Z59" s="26">
        <f>SUM(Z53:Z58)</f>
        <v>7121</v>
      </c>
      <c r="AA59" s="26">
        <f>SUM(AA53:AA58)</f>
        <v>8035</v>
      </c>
      <c r="AB59" s="48"/>
      <c r="AC59" s="26">
        <f>SUM(AC53:AC58)</f>
        <v>6515</v>
      </c>
      <c r="AD59" s="26">
        <f>SUM(AD53:AD58)</f>
        <v>8184</v>
      </c>
      <c r="AE59" s="26">
        <f>SUM(AE53:AE58)</f>
        <v>8992</v>
      </c>
      <c r="AF59" s="26">
        <f>SUM(AF53:AF58)</f>
        <v>8762</v>
      </c>
      <c r="AG59" s="26">
        <f>SUM(AG53:AG58)</f>
        <v>6920</v>
      </c>
      <c r="AH59" s="26">
        <f>SUM(AH53:AH58)</f>
        <v>7335</v>
      </c>
      <c r="AI59" s="26">
        <f>SUM(AI53:AI58)</f>
        <v>7121</v>
      </c>
      <c r="AJ59" s="26">
        <f>SUM(AJ53:AJ58)</f>
        <v>8035</v>
      </c>
      <c r="AK59" s="42"/>
      <c r="AL59" s="76">
        <f>SUM(AJ59/AF59)-1</f>
        <v>-8.2971924218214976E-2</v>
      </c>
    </row>
    <row r="60" spans="2:38" ht="5.0999999999999996" customHeight="1">
      <c r="B60" s="25"/>
      <c r="C60" s="49"/>
      <c r="D60" s="49"/>
      <c r="E60" s="49"/>
      <c r="F60" s="41"/>
      <c r="G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C60" s="42"/>
      <c r="AD60" s="42"/>
      <c r="AE60" s="42"/>
      <c r="AF60" s="42"/>
      <c r="AG60" s="42"/>
      <c r="AH60" s="42"/>
      <c r="AI60" s="42"/>
      <c r="AJ60" s="42"/>
      <c r="AK60" s="42"/>
      <c r="AL60" s="39"/>
    </row>
    <row r="61" spans="2:38" ht="12.75" customHeight="1">
      <c r="B61" s="78" t="s">
        <v>79</v>
      </c>
      <c r="C61" s="82"/>
      <c r="D61" s="82"/>
      <c r="E61" s="82"/>
      <c r="F61" s="82"/>
      <c r="G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32"/>
      <c r="Z61" s="82"/>
      <c r="AA61" s="82"/>
      <c r="AC61" s="32"/>
      <c r="AD61" s="32"/>
      <c r="AE61" s="32"/>
      <c r="AF61" s="32"/>
      <c r="AG61" s="32"/>
      <c r="AH61" s="32"/>
      <c r="AI61" s="32"/>
      <c r="AJ61" s="32"/>
      <c r="AK61" s="11"/>
      <c r="AL61" s="75"/>
    </row>
    <row r="62" spans="2:38" ht="12.75" customHeight="1">
      <c r="B62" s="9" t="s">
        <v>151</v>
      </c>
      <c r="C62" s="82">
        <v>2084</v>
      </c>
      <c r="D62" s="82">
        <v>2252</v>
      </c>
      <c r="E62" s="82">
        <v>2446</v>
      </c>
      <c r="F62" s="82">
        <v>2859</v>
      </c>
      <c r="G62" s="82">
        <v>3294</v>
      </c>
      <c r="I62" s="82">
        <v>2053</v>
      </c>
      <c r="J62" s="82">
        <v>2082</v>
      </c>
      <c r="K62" s="82">
        <v>2109</v>
      </c>
      <c r="L62" s="82">
        <v>2252</v>
      </c>
      <c r="M62" s="82">
        <v>2265</v>
      </c>
      <c r="N62" s="82">
        <v>2246</v>
      </c>
      <c r="O62" s="82">
        <v>2273</v>
      </c>
      <c r="P62" s="82">
        <v>2446</v>
      </c>
      <c r="Q62" s="82">
        <v>2478</v>
      </c>
      <c r="R62" s="82">
        <v>2534</v>
      </c>
      <c r="S62" s="82">
        <v>2635</v>
      </c>
      <c r="T62" s="32">
        <v>2859</v>
      </c>
      <c r="U62" s="82">
        <v>2897</v>
      </c>
      <c r="V62" s="82">
        <v>2951</v>
      </c>
      <c r="W62" s="82">
        <v>3072</v>
      </c>
      <c r="X62" s="32">
        <v>3294</v>
      </c>
      <c r="Y62" s="82">
        <v>3389</v>
      </c>
      <c r="Z62" s="82">
        <v>3461</v>
      </c>
      <c r="AA62" s="82">
        <v>3795</v>
      </c>
      <c r="AC62" s="32">
        <f>T62</f>
        <v>2859</v>
      </c>
      <c r="AD62" s="32">
        <f>U62</f>
        <v>2897</v>
      </c>
      <c r="AE62" s="32">
        <f>V62</f>
        <v>2951</v>
      </c>
      <c r="AF62" s="32">
        <f>W62</f>
        <v>3072</v>
      </c>
      <c r="AG62" s="32">
        <f>X62</f>
        <v>3294</v>
      </c>
      <c r="AH62" s="32">
        <f>Y62</f>
        <v>3389</v>
      </c>
      <c r="AI62" s="32">
        <f>Z62</f>
        <v>3461</v>
      </c>
      <c r="AJ62" s="32">
        <f>AA62</f>
        <v>3795</v>
      </c>
      <c r="AK62" s="11"/>
      <c r="AL62" s="75">
        <f t="shared" ref="AL62:AL67" si="271">SUM(AJ62/AF62)-1</f>
        <v>0.2353515625</v>
      </c>
    </row>
    <row r="63" spans="2:38" ht="12.75" customHeight="1">
      <c r="B63" s="9" t="s">
        <v>107</v>
      </c>
      <c r="C63" s="82">
        <v>9951</v>
      </c>
      <c r="D63" s="82">
        <v>11988</v>
      </c>
      <c r="E63" s="82">
        <v>12920</v>
      </c>
      <c r="F63" s="82">
        <v>14387</v>
      </c>
      <c r="G63" s="82">
        <v>17089</v>
      </c>
      <c r="I63" s="82">
        <v>10868</v>
      </c>
      <c r="J63" s="82">
        <v>10874</v>
      </c>
      <c r="K63" s="82">
        <v>11820</v>
      </c>
      <c r="L63" s="82">
        <v>11988</v>
      </c>
      <c r="M63" s="82">
        <v>12949</v>
      </c>
      <c r="N63" s="82">
        <v>12883</v>
      </c>
      <c r="O63" s="82">
        <v>12852</v>
      </c>
      <c r="P63" s="82">
        <v>12920</v>
      </c>
      <c r="Q63" s="82">
        <v>13269</v>
      </c>
      <c r="R63" s="82">
        <v>13659</v>
      </c>
      <c r="S63" s="82">
        <v>13608</v>
      </c>
      <c r="T63" s="32">
        <v>14387</v>
      </c>
      <c r="U63" s="82">
        <v>14361</v>
      </c>
      <c r="V63" s="82">
        <v>14397</v>
      </c>
      <c r="W63" s="82">
        <v>15033</v>
      </c>
      <c r="X63" s="32">
        <v>17089</v>
      </c>
      <c r="Y63" s="82">
        <v>17340</v>
      </c>
      <c r="Z63" s="82">
        <v>18076</v>
      </c>
      <c r="AA63" s="82">
        <v>18214</v>
      </c>
      <c r="AC63" s="32">
        <f>T63</f>
        <v>14387</v>
      </c>
      <c r="AD63" s="32">
        <f>U63</f>
        <v>14361</v>
      </c>
      <c r="AE63" s="32">
        <f>V63</f>
        <v>14397</v>
      </c>
      <c r="AF63" s="32">
        <f>W63</f>
        <v>15033</v>
      </c>
      <c r="AG63" s="32">
        <f>X63</f>
        <v>17089</v>
      </c>
      <c r="AH63" s="32">
        <f>Y63</f>
        <v>17340</v>
      </c>
      <c r="AI63" s="32">
        <f>Z63</f>
        <v>18076</v>
      </c>
      <c r="AJ63" s="32">
        <f>AA63</f>
        <v>18214</v>
      </c>
      <c r="AK63" s="11"/>
      <c r="AL63" s="75">
        <f t="shared" si="271"/>
        <v>0.21160114414953779</v>
      </c>
    </row>
    <row r="64" spans="2:38" ht="12.75" customHeight="1">
      <c r="B64" s="9" t="s">
        <v>213</v>
      </c>
      <c r="C64" s="82">
        <v>5917</v>
      </c>
      <c r="D64" s="82">
        <v>6121</v>
      </c>
      <c r="E64" s="82">
        <v>5902</v>
      </c>
      <c r="F64" s="82">
        <v>6003</v>
      </c>
      <c r="G64" s="82">
        <v>6684</v>
      </c>
      <c r="I64" s="82">
        <v>5991</v>
      </c>
      <c r="J64" s="82">
        <v>5788</v>
      </c>
      <c r="K64" s="82">
        <v>6227</v>
      </c>
      <c r="L64" s="82">
        <v>6121</v>
      </c>
      <c r="M64" s="82">
        <v>6581</v>
      </c>
      <c r="N64" s="82">
        <v>6349</v>
      </c>
      <c r="O64" s="82">
        <v>6058</v>
      </c>
      <c r="P64" s="82">
        <v>5902</v>
      </c>
      <c r="Q64" s="82">
        <v>6060</v>
      </c>
      <c r="R64" s="82">
        <v>6063</v>
      </c>
      <c r="S64" s="82">
        <v>5849</v>
      </c>
      <c r="T64" s="32">
        <v>6003</v>
      </c>
      <c r="U64" s="82">
        <v>5839</v>
      </c>
      <c r="V64" s="82">
        <v>5417</v>
      </c>
      <c r="W64" s="82">
        <v>5754</v>
      </c>
      <c r="X64" s="32">
        <v>6684</v>
      </c>
      <c r="Y64" s="82">
        <v>6566</v>
      </c>
      <c r="Z64" s="82">
        <v>7260</v>
      </c>
      <c r="AA64" s="82">
        <v>7162</v>
      </c>
      <c r="AC64" s="32">
        <f t="shared" ref="AC64" si="272">T64</f>
        <v>6003</v>
      </c>
      <c r="AD64" s="32">
        <f t="shared" ref="AD64" si="273">U64</f>
        <v>5839</v>
      </c>
      <c r="AE64" s="32">
        <f t="shared" ref="AE64" si="274">V64</f>
        <v>5417</v>
      </c>
      <c r="AF64" s="32">
        <f t="shared" ref="AF64" si="275">W64</f>
        <v>5754</v>
      </c>
      <c r="AG64" s="32">
        <f t="shared" ref="AG64" si="276">X64</f>
        <v>6684</v>
      </c>
      <c r="AH64" s="32">
        <f t="shared" ref="AH64" si="277">Y64</f>
        <v>6566</v>
      </c>
      <c r="AI64" s="32">
        <f t="shared" ref="AI64" si="278">Z64</f>
        <v>7260</v>
      </c>
      <c r="AJ64" s="32">
        <f t="shared" ref="AJ64" si="279">AA64</f>
        <v>7162</v>
      </c>
      <c r="AK64" s="11"/>
      <c r="AL64" s="75">
        <f t="shared" si="271"/>
        <v>0.24469933958985046</v>
      </c>
    </row>
    <row r="65" spans="2:38" ht="12.75" customHeight="1">
      <c r="B65" s="9" t="s">
        <v>214</v>
      </c>
      <c r="C65" s="82">
        <v>4210</v>
      </c>
      <c r="D65" s="82">
        <v>4142</v>
      </c>
      <c r="E65" s="82">
        <v>3942</v>
      </c>
      <c r="F65" s="82">
        <v>3841</v>
      </c>
      <c r="G65" s="82">
        <v>3655</v>
      </c>
      <c r="I65" s="82">
        <v>4173</v>
      </c>
      <c r="J65" s="82">
        <v>4036</v>
      </c>
      <c r="K65" s="82">
        <v>4049</v>
      </c>
      <c r="L65" s="82">
        <v>4142</v>
      </c>
      <c r="M65" s="82">
        <v>4102</v>
      </c>
      <c r="N65" s="82">
        <v>4059</v>
      </c>
      <c r="O65" s="82">
        <v>4018</v>
      </c>
      <c r="P65" s="82">
        <v>3942</v>
      </c>
      <c r="Q65" s="82">
        <v>3900</v>
      </c>
      <c r="R65" s="82">
        <v>3865</v>
      </c>
      <c r="S65" s="82">
        <v>3840</v>
      </c>
      <c r="T65" s="32">
        <v>3841</v>
      </c>
      <c r="U65" s="82">
        <v>3792</v>
      </c>
      <c r="V65" s="82">
        <v>3801</v>
      </c>
      <c r="W65" s="82">
        <v>3816</v>
      </c>
      <c r="X65" s="32">
        <v>3655</v>
      </c>
      <c r="Y65" s="82">
        <v>3676</v>
      </c>
      <c r="Z65" s="82">
        <v>3778</v>
      </c>
      <c r="AA65" s="82">
        <v>3669</v>
      </c>
      <c r="AC65" s="32">
        <f t="shared" ref="AC65" si="280">T65</f>
        <v>3841</v>
      </c>
      <c r="AD65" s="32">
        <f t="shared" ref="AD65" si="281">U65</f>
        <v>3792</v>
      </c>
      <c r="AE65" s="32">
        <f t="shared" ref="AE65" si="282">V65</f>
        <v>3801</v>
      </c>
      <c r="AF65" s="32">
        <f t="shared" ref="AF65" si="283">W65</f>
        <v>3816</v>
      </c>
      <c r="AG65" s="32">
        <f t="shared" ref="AG65" si="284">X65</f>
        <v>3655</v>
      </c>
      <c r="AH65" s="32">
        <f t="shared" ref="AH65" si="285">Y65</f>
        <v>3676</v>
      </c>
      <c r="AI65" s="32">
        <f t="shared" ref="AI65" si="286">Z65</f>
        <v>3778</v>
      </c>
      <c r="AJ65" s="32">
        <f t="shared" ref="AJ65" si="287">AA65</f>
        <v>3669</v>
      </c>
      <c r="AK65" s="11"/>
      <c r="AL65" s="75">
        <f t="shared" ref="AL65" si="288">SUM(AJ65/AF65)-1</f>
        <v>-3.8522012578616316E-2</v>
      </c>
    </row>
    <row r="66" spans="2:38" ht="12.75" customHeight="1">
      <c r="B66" s="9" t="s">
        <v>168</v>
      </c>
      <c r="C66" s="82">
        <v>1921</v>
      </c>
      <c r="D66" s="82">
        <v>1409</v>
      </c>
      <c r="E66" s="82">
        <v>1500</v>
      </c>
      <c r="F66" s="82">
        <v>1531</v>
      </c>
      <c r="G66" s="82">
        <v>1753</v>
      </c>
      <c r="I66" s="82">
        <v>1714</v>
      </c>
      <c r="J66" s="82">
        <v>1629</v>
      </c>
      <c r="K66" s="82">
        <v>1444</v>
      </c>
      <c r="L66" s="82">
        <v>1409</v>
      </c>
      <c r="M66" s="82">
        <v>1375</v>
      </c>
      <c r="N66" s="82">
        <v>1569</v>
      </c>
      <c r="O66" s="82">
        <v>1602</v>
      </c>
      <c r="P66" s="82">
        <v>1500</v>
      </c>
      <c r="Q66" s="82">
        <v>1482</v>
      </c>
      <c r="R66" s="82">
        <v>1595</v>
      </c>
      <c r="S66" s="82">
        <v>1605</v>
      </c>
      <c r="T66" s="32">
        <v>1531</v>
      </c>
      <c r="U66" s="82">
        <v>1596</v>
      </c>
      <c r="V66" s="82">
        <v>1550</v>
      </c>
      <c r="W66" s="82">
        <v>1642</v>
      </c>
      <c r="X66" s="32">
        <v>1753</v>
      </c>
      <c r="Y66" s="82">
        <v>1834</v>
      </c>
      <c r="Z66" s="82">
        <v>1864</v>
      </c>
      <c r="AA66" s="82">
        <v>1832</v>
      </c>
      <c r="AC66" s="32">
        <f t="shared" ref="AC66" si="289">T66</f>
        <v>1531</v>
      </c>
      <c r="AD66" s="32">
        <f t="shared" ref="AD66" si="290">U66</f>
        <v>1596</v>
      </c>
      <c r="AE66" s="32">
        <f t="shared" ref="AE66" si="291">V66</f>
        <v>1550</v>
      </c>
      <c r="AF66" s="32">
        <f t="shared" ref="AF66" si="292">W66</f>
        <v>1642</v>
      </c>
      <c r="AG66" s="32">
        <f t="shared" ref="AG66" si="293">X66</f>
        <v>1753</v>
      </c>
      <c r="AH66" s="32">
        <f t="shared" ref="AH66" si="294">Y66</f>
        <v>1834</v>
      </c>
      <c r="AI66" s="32">
        <f t="shared" ref="AI66" si="295">Z66</f>
        <v>1864</v>
      </c>
      <c r="AJ66" s="32">
        <f t="shared" ref="AJ66" si="296">AA66</f>
        <v>1832</v>
      </c>
      <c r="AK66" s="11"/>
      <c r="AL66" s="75">
        <f t="shared" si="271"/>
        <v>0.11571254567600486</v>
      </c>
    </row>
    <row r="67" spans="2:38" ht="12.75" customHeight="1">
      <c r="B67" s="13" t="s">
        <v>19</v>
      </c>
      <c r="C67" s="14">
        <f t="shared" ref="C67:D67" si="297">SUM(C62:C66)+C59</f>
        <v>30777</v>
      </c>
      <c r="D67" s="14">
        <f t="shared" si="297"/>
        <v>32229</v>
      </c>
      <c r="E67" s="14">
        <f>SUM(E62:E66)+E59</f>
        <v>32470</v>
      </c>
      <c r="F67" s="14">
        <f>SUM(F62:F66)+F59</f>
        <v>35136</v>
      </c>
      <c r="G67" s="14">
        <f>SUM(G62:G66)+G59</f>
        <v>39395</v>
      </c>
      <c r="I67" s="14">
        <f t="shared" ref="I67" si="298">SUM(I62:I66)+I59</f>
        <v>30900</v>
      </c>
      <c r="J67" s="14">
        <f t="shared" ref="J67" si="299">SUM(J62:J66)+J59</f>
        <v>31168</v>
      </c>
      <c r="K67" s="14">
        <f t="shared" ref="K67" si="300">SUM(K62:K66)+K59</f>
        <v>31877</v>
      </c>
      <c r="L67" s="14">
        <f t="shared" ref="L67" si="301">SUM(L62:L66)+L59</f>
        <v>32229</v>
      </c>
      <c r="M67" s="14">
        <f t="shared" ref="M67" si="302">SUM(M62:M66)+M59</f>
        <v>32337</v>
      </c>
      <c r="N67" s="14">
        <f t="shared" ref="N67" si="303">SUM(N62:N66)+N59</f>
        <v>32189</v>
      </c>
      <c r="O67" s="14">
        <f t="shared" ref="O67" si="304">SUM(O62:O66)+O59</f>
        <v>31947</v>
      </c>
      <c r="P67" s="14">
        <f t="shared" ref="P67" si="305">SUM(P62:P66)+P59</f>
        <v>32470</v>
      </c>
      <c r="Q67" s="14">
        <f>SUM(Q62:Q66)+Q59</f>
        <v>32892</v>
      </c>
      <c r="R67" s="14">
        <f>SUM(R62:R66)+R59</f>
        <v>33602</v>
      </c>
      <c r="S67" s="14">
        <f>SUM(S62:S66)+S59</f>
        <v>34042</v>
      </c>
      <c r="T67" s="14">
        <f>SUM(T62:T66)+T59</f>
        <v>35136</v>
      </c>
      <c r="U67" s="14">
        <f>SUM(U62:U66)+U59</f>
        <v>36669</v>
      </c>
      <c r="V67" s="14">
        <f>SUM(V62:V66)+V59</f>
        <v>37108</v>
      </c>
      <c r="W67" s="14">
        <f>SUM(W62:W66)+W59</f>
        <v>38079</v>
      </c>
      <c r="X67" s="14">
        <f>SUM(X62:X66)+X59</f>
        <v>39395</v>
      </c>
      <c r="Y67" s="14">
        <f>SUM(Y62:Y66)+Y59</f>
        <v>40140</v>
      </c>
      <c r="Z67" s="14">
        <f>SUM(Z62:Z66)+Z59</f>
        <v>41560</v>
      </c>
      <c r="AA67" s="14">
        <f>SUM(AA62:AA66)+AA59</f>
        <v>42707</v>
      </c>
      <c r="AC67" s="14">
        <f>SUM(AC62:AC66)+AC59</f>
        <v>35136</v>
      </c>
      <c r="AD67" s="14">
        <f>SUM(AD62:AD66)+AD59</f>
        <v>36669</v>
      </c>
      <c r="AE67" s="14">
        <f>SUM(AE62:AE66)+AE59</f>
        <v>37108</v>
      </c>
      <c r="AF67" s="14">
        <f>SUM(AF62:AF66)+AF59</f>
        <v>38079</v>
      </c>
      <c r="AG67" s="14">
        <f>SUM(AG62:AG66)+AG59</f>
        <v>39395</v>
      </c>
      <c r="AH67" s="14">
        <f>SUM(AH62:AH66)+AH59</f>
        <v>40140</v>
      </c>
      <c r="AI67" s="14">
        <f>SUM(AI62:AI66)+AI59</f>
        <v>41560</v>
      </c>
      <c r="AJ67" s="34">
        <f>SUM(AJ62:AJ66)+AJ59</f>
        <v>42707</v>
      </c>
      <c r="AK67" s="42"/>
      <c r="AL67" s="76">
        <f t="shared" si="271"/>
        <v>0.12153680506315823</v>
      </c>
    </row>
    <row r="68" spans="2:38" ht="12.75" customHeight="1">
      <c r="B68" s="25"/>
      <c r="C68" s="50"/>
      <c r="D68" s="50"/>
      <c r="E68" s="50"/>
      <c r="F68" s="41"/>
      <c r="G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C68" s="42"/>
      <c r="AD68" s="42"/>
      <c r="AE68" s="42"/>
      <c r="AF68" s="42"/>
      <c r="AG68" s="42"/>
      <c r="AH68" s="42"/>
      <c r="AI68" s="42"/>
      <c r="AJ68" s="42"/>
      <c r="AK68" s="42"/>
      <c r="AL68" s="39"/>
    </row>
    <row r="69" spans="2:38" ht="12.75" customHeight="1">
      <c r="B69" s="78" t="s">
        <v>45</v>
      </c>
      <c r="C69" s="50"/>
      <c r="D69" s="50"/>
      <c r="E69" s="50"/>
      <c r="F69" s="41"/>
      <c r="G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C69" s="42"/>
      <c r="AD69" s="42"/>
      <c r="AE69" s="42"/>
      <c r="AF69" s="42"/>
      <c r="AG69" s="42"/>
      <c r="AH69" s="42"/>
      <c r="AI69" s="42"/>
      <c r="AJ69" s="42"/>
      <c r="AK69" s="42"/>
      <c r="AL69" s="39"/>
    </row>
    <row r="70" spans="2:38" ht="12.75" customHeight="1">
      <c r="B70" s="120" t="s">
        <v>215</v>
      </c>
      <c r="C70" s="121">
        <v>13</v>
      </c>
      <c r="D70" s="121">
        <v>260</v>
      </c>
      <c r="E70" s="121">
        <v>20</v>
      </c>
      <c r="F70" s="121">
        <v>531</v>
      </c>
      <c r="G70" s="121">
        <v>1779</v>
      </c>
      <c r="I70" s="82">
        <v>13</v>
      </c>
      <c r="J70" s="82">
        <v>262</v>
      </c>
      <c r="K70" s="82">
        <v>261</v>
      </c>
      <c r="L70" s="82">
        <v>260</v>
      </c>
      <c r="M70" s="82">
        <v>238</v>
      </c>
      <c r="N70" s="82">
        <v>170</v>
      </c>
      <c r="O70" s="82">
        <v>20</v>
      </c>
      <c r="P70" s="82">
        <v>20</v>
      </c>
      <c r="Q70" s="82">
        <v>510</v>
      </c>
      <c r="R70" s="82">
        <v>559</v>
      </c>
      <c r="S70" s="82">
        <v>513</v>
      </c>
      <c r="T70" s="32">
        <v>531</v>
      </c>
      <c r="U70" s="82">
        <v>1085</v>
      </c>
      <c r="V70" s="82">
        <v>1580</v>
      </c>
      <c r="W70" s="82">
        <v>1652</v>
      </c>
      <c r="X70" s="32">
        <v>1779</v>
      </c>
      <c r="Y70" s="82">
        <v>777</v>
      </c>
      <c r="Z70" s="82">
        <v>480</v>
      </c>
      <c r="AA70" s="82">
        <v>483</v>
      </c>
      <c r="AC70" s="97">
        <f>T70</f>
        <v>531</v>
      </c>
      <c r="AD70" s="97">
        <f>U70</f>
        <v>1085</v>
      </c>
      <c r="AE70" s="97">
        <f>V70</f>
        <v>1580</v>
      </c>
      <c r="AF70" s="97">
        <f>W70</f>
        <v>1652</v>
      </c>
      <c r="AG70" s="97">
        <f>X70</f>
        <v>1779</v>
      </c>
      <c r="AH70" s="97">
        <f>Y70</f>
        <v>777</v>
      </c>
      <c r="AI70" s="97">
        <f>Z70</f>
        <v>480</v>
      </c>
      <c r="AJ70" s="97">
        <f>AA70</f>
        <v>483</v>
      </c>
      <c r="AK70" s="11"/>
      <c r="AL70" s="75">
        <f t="shared" ref="AL70:AL74" si="306">SUM(AJ70/AF70)-1</f>
        <v>-0.7076271186440678</v>
      </c>
    </row>
    <row r="71" spans="2:38" ht="12.75" customHeight="1">
      <c r="B71" s="120" t="s">
        <v>44</v>
      </c>
      <c r="C71" s="121">
        <v>513</v>
      </c>
      <c r="D71" s="121">
        <v>794</v>
      </c>
      <c r="E71" s="121">
        <v>862</v>
      </c>
      <c r="F71" s="121">
        <v>943</v>
      </c>
      <c r="G71" s="121">
        <v>960</v>
      </c>
      <c r="I71" s="82">
        <v>615</v>
      </c>
      <c r="J71" s="82">
        <v>689</v>
      </c>
      <c r="K71" s="82">
        <v>674</v>
      </c>
      <c r="L71" s="82">
        <v>794</v>
      </c>
      <c r="M71" s="82">
        <v>696</v>
      </c>
      <c r="N71" s="82">
        <v>732</v>
      </c>
      <c r="O71" s="82">
        <v>803</v>
      </c>
      <c r="P71" s="82">
        <v>862</v>
      </c>
      <c r="Q71" s="82">
        <v>868</v>
      </c>
      <c r="R71" s="82">
        <v>899</v>
      </c>
      <c r="S71" s="82">
        <v>929</v>
      </c>
      <c r="T71" s="32">
        <v>943</v>
      </c>
      <c r="U71" s="82">
        <v>921</v>
      </c>
      <c r="V71" s="82">
        <v>906</v>
      </c>
      <c r="W71" s="82">
        <v>908</v>
      </c>
      <c r="X71" s="32">
        <v>960</v>
      </c>
      <c r="Y71" s="82">
        <v>1004</v>
      </c>
      <c r="Z71" s="82">
        <v>962</v>
      </c>
      <c r="AA71" s="82">
        <v>1002</v>
      </c>
      <c r="AC71" s="97">
        <f>T71</f>
        <v>943</v>
      </c>
      <c r="AD71" s="97">
        <f>U71</f>
        <v>921</v>
      </c>
      <c r="AE71" s="97">
        <f>V71</f>
        <v>906</v>
      </c>
      <c r="AF71" s="97">
        <f>W71</f>
        <v>908</v>
      </c>
      <c r="AG71" s="97">
        <f>X71</f>
        <v>960</v>
      </c>
      <c r="AH71" s="97">
        <f>Y71</f>
        <v>1004</v>
      </c>
      <c r="AI71" s="97">
        <f>Z71</f>
        <v>962</v>
      </c>
      <c r="AJ71" s="97">
        <f>AA71</f>
        <v>1002</v>
      </c>
      <c r="AK71" s="11"/>
      <c r="AL71" s="75">
        <f t="shared" ref="AL71" si="307">SUM(AJ71/AF71)-1</f>
        <v>0.1035242290748899</v>
      </c>
    </row>
    <row r="72" spans="2:38" ht="12.75" customHeight="1">
      <c r="B72" s="120" t="s">
        <v>169</v>
      </c>
      <c r="C72" s="121">
        <v>2197</v>
      </c>
      <c r="D72" s="121">
        <v>2436</v>
      </c>
      <c r="E72" s="121">
        <v>2160</v>
      </c>
      <c r="F72" s="121">
        <v>2646</v>
      </c>
      <c r="G72" s="121">
        <v>2773</v>
      </c>
      <c r="I72" s="82">
        <v>2060</v>
      </c>
      <c r="J72" s="82">
        <v>2442</v>
      </c>
      <c r="K72" s="82">
        <v>2418</v>
      </c>
      <c r="L72" s="82">
        <v>2436</v>
      </c>
      <c r="M72" s="82">
        <v>2306</v>
      </c>
      <c r="N72" s="82">
        <v>2197</v>
      </c>
      <c r="O72" s="82">
        <v>1974</v>
      </c>
      <c r="P72" s="82">
        <v>2160</v>
      </c>
      <c r="Q72" s="82">
        <v>1918</v>
      </c>
      <c r="R72" s="82">
        <v>2164</v>
      </c>
      <c r="S72" s="82">
        <v>2255</v>
      </c>
      <c r="T72" s="32">
        <v>2646</v>
      </c>
      <c r="U72" s="82">
        <v>2083</v>
      </c>
      <c r="V72" s="82">
        <v>2320</v>
      </c>
      <c r="W72" s="82">
        <v>2460</v>
      </c>
      <c r="X72" s="32">
        <v>2773</v>
      </c>
      <c r="Y72" s="82">
        <v>2354</v>
      </c>
      <c r="Z72" s="82">
        <v>2797</v>
      </c>
      <c r="AA72" s="82">
        <v>2981</v>
      </c>
      <c r="AC72" s="97">
        <f t="shared" ref="AC72:AC73" si="308">T72</f>
        <v>2646</v>
      </c>
      <c r="AD72" s="97">
        <f t="shared" ref="AD72:AD73" si="309">U72</f>
        <v>2083</v>
      </c>
      <c r="AE72" s="97">
        <f t="shared" ref="AE72:AE73" si="310">V72</f>
        <v>2320</v>
      </c>
      <c r="AF72" s="97">
        <f t="shared" ref="AF72:AF73" si="311">W72</f>
        <v>2460</v>
      </c>
      <c r="AG72" s="97">
        <f t="shared" ref="AG72:AG73" si="312">X72</f>
        <v>2773</v>
      </c>
      <c r="AH72" s="97">
        <f t="shared" ref="AH72:AH73" si="313">Y72</f>
        <v>2354</v>
      </c>
      <c r="AI72" s="97">
        <f t="shared" ref="AI72:AI73" si="314">Z72</f>
        <v>2797</v>
      </c>
      <c r="AJ72" s="97">
        <f t="shared" ref="AJ72:AJ73" si="315">AA72</f>
        <v>2981</v>
      </c>
      <c r="AK72" s="11"/>
      <c r="AL72" s="75">
        <f t="shared" ref="AL72:AL73" si="316">SUM(AJ72/AF72)-1</f>
        <v>0.21178861788617875</v>
      </c>
    </row>
    <row r="73" spans="2:38" ht="12.75" customHeight="1">
      <c r="B73" s="120" t="s">
        <v>216</v>
      </c>
      <c r="C73" s="121">
        <v>958</v>
      </c>
      <c r="D73" s="121">
        <v>783</v>
      </c>
      <c r="E73" s="121">
        <v>761</v>
      </c>
      <c r="F73" s="121">
        <v>814</v>
      </c>
      <c r="G73" s="121">
        <v>887</v>
      </c>
      <c r="I73" s="82">
        <v>705</v>
      </c>
      <c r="J73" s="82">
        <v>680</v>
      </c>
      <c r="K73" s="82">
        <v>669</v>
      </c>
      <c r="L73" s="82">
        <v>783</v>
      </c>
      <c r="M73" s="82">
        <v>1034</v>
      </c>
      <c r="N73" s="82">
        <v>784</v>
      </c>
      <c r="O73" s="82">
        <v>752</v>
      </c>
      <c r="P73" s="82">
        <v>761</v>
      </c>
      <c r="Q73" s="82">
        <v>787</v>
      </c>
      <c r="R73" s="82">
        <v>940</v>
      </c>
      <c r="S73" s="82">
        <v>882</v>
      </c>
      <c r="T73" s="32">
        <v>814</v>
      </c>
      <c r="U73" s="82">
        <v>827</v>
      </c>
      <c r="V73" s="82">
        <v>770</v>
      </c>
      <c r="W73" s="82">
        <v>891</v>
      </c>
      <c r="X73" s="32">
        <v>887</v>
      </c>
      <c r="Y73" s="82">
        <v>923</v>
      </c>
      <c r="Z73" s="82">
        <v>952</v>
      </c>
      <c r="AA73" s="82">
        <v>862</v>
      </c>
      <c r="AC73" s="97">
        <f t="shared" si="308"/>
        <v>814</v>
      </c>
      <c r="AD73" s="97">
        <f t="shared" si="309"/>
        <v>827</v>
      </c>
      <c r="AE73" s="97">
        <f t="shared" si="310"/>
        <v>770</v>
      </c>
      <c r="AF73" s="97">
        <f t="shared" si="311"/>
        <v>891</v>
      </c>
      <c r="AG73" s="97">
        <f t="shared" si="312"/>
        <v>887</v>
      </c>
      <c r="AH73" s="97">
        <f t="shared" si="313"/>
        <v>923</v>
      </c>
      <c r="AI73" s="97">
        <f t="shared" si="314"/>
        <v>952</v>
      </c>
      <c r="AJ73" s="97">
        <f t="shared" si="315"/>
        <v>862</v>
      </c>
      <c r="AK73" s="11"/>
      <c r="AL73" s="75">
        <f t="shared" si="316"/>
        <v>-3.2547699214365844E-2</v>
      </c>
    </row>
    <row r="74" spans="2:38" ht="12.75" customHeight="1">
      <c r="B74" s="25" t="s">
        <v>17</v>
      </c>
      <c r="C74" s="26">
        <f>SUM(C70:C73)</f>
        <v>3681</v>
      </c>
      <c r="D74" s="26">
        <f>SUM(D70:D73)</f>
        <v>4273</v>
      </c>
      <c r="E74" s="26">
        <f>SUM(E70:E73)</f>
        <v>3803</v>
      </c>
      <c r="F74" s="26">
        <f>SUM(F70:F73)</f>
        <v>4934</v>
      </c>
      <c r="G74" s="26">
        <f>SUM(G70:G73)</f>
        <v>6399</v>
      </c>
      <c r="I74" s="26">
        <f>SUM(I70:I73)</f>
        <v>3393</v>
      </c>
      <c r="J74" s="26">
        <f>SUM(J70:J73)</f>
        <v>4073</v>
      </c>
      <c r="K74" s="26">
        <f>SUM(K70:K73)</f>
        <v>4022</v>
      </c>
      <c r="L74" s="26">
        <f>SUM(L70:L73)</f>
        <v>4273</v>
      </c>
      <c r="M74" s="26">
        <f>SUM(M70:M73)</f>
        <v>4274</v>
      </c>
      <c r="N74" s="26">
        <f>SUM(N70:N73)</f>
        <v>3883</v>
      </c>
      <c r="O74" s="26">
        <f>SUM(O70:O73)</f>
        <v>3549</v>
      </c>
      <c r="P74" s="26">
        <f>SUM(P70:P73)</f>
        <v>3803</v>
      </c>
      <c r="Q74" s="26">
        <f>SUM(Q70:Q73)</f>
        <v>4083</v>
      </c>
      <c r="R74" s="26">
        <f>SUM(R70:R73)</f>
        <v>4562</v>
      </c>
      <c r="S74" s="26">
        <f>SUM(S70:S73)</f>
        <v>4579</v>
      </c>
      <c r="T74" s="26">
        <f>SUM(T70:T73)</f>
        <v>4934</v>
      </c>
      <c r="U74" s="26">
        <f>SUM(U70:U73)</f>
        <v>4916</v>
      </c>
      <c r="V74" s="26">
        <f>SUM(V70:V73)</f>
        <v>5576</v>
      </c>
      <c r="W74" s="26">
        <f>SUM(W70:W73)</f>
        <v>5911</v>
      </c>
      <c r="X74" s="26">
        <f>SUM(X70:X73)</f>
        <v>6399</v>
      </c>
      <c r="Y74" s="26">
        <f>SUM(Y70:Y73)</f>
        <v>5058</v>
      </c>
      <c r="Z74" s="26">
        <f>SUM(Z70:Z73)</f>
        <v>5191</v>
      </c>
      <c r="AA74" s="26">
        <f>SUM(AA70:AA73)</f>
        <v>5328</v>
      </c>
      <c r="AB74" s="48"/>
      <c r="AC74" s="26">
        <f>SUM(AC70:AC73)</f>
        <v>4934</v>
      </c>
      <c r="AD74" s="26">
        <f>SUM(AD70:AD73)</f>
        <v>4916</v>
      </c>
      <c r="AE74" s="26">
        <f>SUM(AE70:AE73)</f>
        <v>5576</v>
      </c>
      <c r="AF74" s="26">
        <f>SUM(AF70:AF73)</f>
        <v>5911</v>
      </c>
      <c r="AG74" s="26">
        <f>SUM(AG70:AG73)</f>
        <v>6399</v>
      </c>
      <c r="AH74" s="26">
        <f>SUM(AH70:AH73)</f>
        <v>5058</v>
      </c>
      <c r="AI74" s="26">
        <f>SUM(AI70:AI73)</f>
        <v>5191</v>
      </c>
      <c r="AJ74" s="26">
        <f>SUM(AJ70:AJ73)</f>
        <v>5328</v>
      </c>
      <c r="AK74" s="42"/>
      <c r="AL74" s="76">
        <f t="shared" si="306"/>
        <v>-9.8629673490103209E-2</v>
      </c>
    </row>
    <row r="75" spans="2:38" ht="5.0999999999999996" customHeight="1">
      <c r="B75" s="25"/>
      <c r="C75" s="50"/>
      <c r="D75" s="50"/>
      <c r="E75" s="50"/>
      <c r="F75" s="41"/>
      <c r="G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C75" s="42"/>
      <c r="AD75" s="42"/>
      <c r="AE75" s="42"/>
      <c r="AF75" s="42"/>
      <c r="AG75" s="42"/>
      <c r="AH75" s="42"/>
      <c r="AI75" s="42"/>
      <c r="AJ75" s="42"/>
      <c r="AK75" s="42"/>
      <c r="AL75" s="39"/>
    </row>
    <row r="76" spans="2:38">
      <c r="B76" s="78" t="s">
        <v>80</v>
      </c>
      <c r="C76" s="50"/>
      <c r="D76" s="50"/>
      <c r="E76" s="50"/>
      <c r="F76" s="41"/>
      <c r="G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C76" s="42"/>
      <c r="AD76" s="42"/>
      <c r="AE76" s="42"/>
      <c r="AF76" s="42"/>
      <c r="AG76" s="42"/>
      <c r="AH76" s="42"/>
      <c r="AI76" s="42"/>
      <c r="AJ76" s="42"/>
      <c r="AK76" s="42"/>
      <c r="AL76" s="39"/>
    </row>
    <row r="77" spans="2:38" ht="12.75" customHeight="1">
      <c r="B77" s="120" t="s">
        <v>152</v>
      </c>
      <c r="C77" s="121">
        <v>9130</v>
      </c>
      <c r="D77" s="121">
        <v>8804</v>
      </c>
      <c r="E77" s="121">
        <v>8915</v>
      </c>
      <c r="F77" s="121">
        <v>8571</v>
      </c>
      <c r="G77" s="121">
        <v>8968</v>
      </c>
      <c r="H77" s="51"/>
      <c r="I77" s="82">
        <v>9082</v>
      </c>
      <c r="J77" s="82">
        <v>8847</v>
      </c>
      <c r="K77" s="82">
        <v>8824</v>
      </c>
      <c r="L77" s="82">
        <v>8804</v>
      </c>
      <c r="M77" s="82">
        <v>9067</v>
      </c>
      <c r="N77" s="82">
        <v>8802</v>
      </c>
      <c r="O77" s="82">
        <v>8564</v>
      </c>
      <c r="P77" s="82">
        <v>8915</v>
      </c>
      <c r="Q77" s="82">
        <v>8495</v>
      </c>
      <c r="R77" s="82">
        <v>8494</v>
      </c>
      <c r="S77" s="82">
        <v>8386</v>
      </c>
      <c r="T77" s="32">
        <v>8571</v>
      </c>
      <c r="U77" s="82">
        <v>9534</v>
      </c>
      <c r="V77" s="82">
        <v>8991</v>
      </c>
      <c r="W77" s="82">
        <v>9233</v>
      </c>
      <c r="X77" s="32">
        <v>8968</v>
      </c>
      <c r="Y77" s="82">
        <v>10532</v>
      </c>
      <c r="Z77" s="82">
        <v>11107</v>
      </c>
      <c r="AA77" s="82">
        <v>11117</v>
      </c>
      <c r="AB77" s="121"/>
      <c r="AC77" s="97">
        <f>T77</f>
        <v>8571</v>
      </c>
      <c r="AD77" s="97">
        <f>U77</f>
        <v>9534</v>
      </c>
      <c r="AE77" s="97">
        <f>V77</f>
        <v>8991</v>
      </c>
      <c r="AF77" s="97">
        <f>W77</f>
        <v>9233</v>
      </c>
      <c r="AG77" s="97">
        <f>X77</f>
        <v>8968</v>
      </c>
      <c r="AH77" s="97">
        <f>Y77</f>
        <v>10532</v>
      </c>
      <c r="AI77" s="97">
        <f>Z77</f>
        <v>11107</v>
      </c>
      <c r="AJ77" s="97">
        <f>AA77</f>
        <v>11117</v>
      </c>
      <c r="AK77" s="42"/>
      <c r="AL77" s="75">
        <f t="shared" ref="AL77:AL87" si="317">SUM(AJ77/AF77)-1</f>
        <v>0.2040506877504602</v>
      </c>
    </row>
    <row r="78" spans="2:38" ht="12.75" customHeight="1">
      <c r="B78" s="120" t="s">
        <v>217</v>
      </c>
      <c r="C78" s="121">
        <v>330</v>
      </c>
      <c r="D78" s="121">
        <v>310</v>
      </c>
      <c r="E78" s="121">
        <v>144</v>
      </c>
      <c r="F78" s="121">
        <v>134</v>
      </c>
      <c r="G78" s="121">
        <v>155</v>
      </c>
      <c r="H78" s="51"/>
      <c r="I78" s="82">
        <v>336</v>
      </c>
      <c r="J78" s="82">
        <v>115</v>
      </c>
      <c r="K78" s="82">
        <v>274</v>
      </c>
      <c r="L78" s="82">
        <v>310</v>
      </c>
      <c r="M78" s="82">
        <v>261</v>
      </c>
      <c r="N78" s="82">
        <v>265</v>
      </c>
      <c r="O78" s="82">
        <v>278</v>
      </c>
      <c r="P78" s="82">
        <v>144</v>
      </c>
      <c r="Q78" s="82">
        <v>210</v>
      </c>
      <c r="R78" s="82">
        <v>135</v>
      </c>
      <c r="S78" s="82">
        <v>91</v>
      </c>
      <c r="T78" s="32">
        <v>134</v>
      </c>
      <c r="U78" s="82">
        <v>132</v>
      </c>
      <c r="V78" s="82">
        <v>132</v>
      </c>
      <c r="W78" s="82">
        <v>138</v>
      </c>
      <c r="X78" s="32">
        <v>155</v>
      </c>
      <c r="Y78" s="82">
        <v>158</v>
      </c>
      <c r="Z78" s="82">
        <v>226</v>
      </c>
      <c r="AA78" s="82">
        <v>242</v>
      </c>
      <c r="AB78" s="121"/>
      <c r="AC78" s="97">
        <f t="shared" ref="AC78:AC79" si="318">T78</f>
        <v>134</v>
      </c>
      <c r="AD78" s="97">
        <f t="shared" ref="AD78:AD79" si="319">U78</f>
        <v>132</v>
      </c>
      <c r="AE78" s="97">
        <f t="shared" ref="AE78:AE79" si="320">V78</f>
        <v>132</v>
      </c>
      <c r="AF78" s="97">
        <f t="shared" ref="AF78:AF79" si="321">W78</f>
        <v>138</v>
      </c>
      <c r="AG78" s="97">
        <f t="shared" ref="AG78:AG79" si="322">X78</f>
        <v>155</v>
      </c>
      <c r="AH78" s="97">
        <f t="shared" ref="AH78:AH79" si="323">Y78</f>
        <v>158</v>
      </c>
      <c r="AI78" s="97">
        <f t="shared" ref="AI78:AI79" si="324">Z78</f>
        <v>226</v>
      </c>
      <c r="AJ78" s="97">
        <f t="shared" ref="AJ78:AJ79" si="325">AA78</f>
        <v>242</v>
      </c>
      <c r="AK78" s="42"/>
      <c r="AL78" s="75">
        <f t="shared" ref="AL78:AL79" si="326">SUM(AJ78/AF78)-1</f>
        <v>0.75362318840579712</v>
      </c>
    </row>
    <row r="79" spans="2:38" ht="12.75" customHeight="1">
      <c r="B79" s="120" t="s">
        <v>153</v>
      </c>
      <c r="C79" s="121">
        <v>2309</v>
      </c>
      <c r="D79" s="121">
        <v>2220</v>
      </c>
      <c r="E79" s="121">
        <v>2035</v>
      </c>
      <c r="F79" s="121">
        <v>1967</v>
      </c>
      <c r="G79" s="121">
        <v>1870</v>
      </c>
      <c r="H79" s="51"/>
      <c r="I79" s="82">
        <v>2370</v>
      </c>
      <c r="J79" s="82">
        <v>2190</v>
      </c>
      <c r="K79" s="82">
        <v>2296</v>
      </c>
      <c r="L79" s="82">
        <v>2220</v>
      </c>
      <c r="M79" s="82">
        <v>2000</v>
      </c>
      <c r="N79" s="82">
        <v>1988</v>
      </c>
      <c r="O79" s="82">
        <v>1916</v>
      </c>
      <c r="P79" s="82">
        <v>2035</v>
      </c>
      <c r="Q79" s="82">
        <v>1995</v>
      </c>
      <c r="R79" s="82">
        <v>1926</v>
      </c>
      <c r="S79" s="82">
        <v>1858</v>
      </c>
      <c r="T79" s="32">
        <v>1967</v>
      </c>
      <c r="U79" s="82">
        <v>1919</v>
      </c>
      <c r="V79" s="82">
        <v>1800</v>
      </c>
      <c r="W79" s="82">
        <v>1841</v>
      </c>
      <c r="X79" s="32">
        <v>1870</v>
      </c>
      <c r="Y79" s="82">
        <v>1946</v>
      </c>
      <c r="Z79" s="82">
        <v>2383</v>
      </c>
      <c r="AA79" s="82">
        <v>2390</v>
      </c>
      <c r="AB79" s="121"/>
      <c r="AC79" s="97">
        <f t="shared" si="318"/>
        <v>1967</v>
      </c>
      <c r="AD79" s="97">
        <f t="shared" si="319"/>
        <v>1919</v>
      </c>
      <c r="AE79" s="97">
        <f t="shared" si="320"/>
        <v>1800</v>
      </c>
      <c r="AF79" s="97">
        <f t="shared" si="321"/>
        <v>1841</v>
      </c>
      <c r="AG79" s="97">
        <f t="shared" si="322"/>
        <v>1870</v>
      </c>
      <c r="AH79" s="97">
        <f t="shared" si="323"/>
        <v>1946</v>
      </c>
      <c r="AI79" s="97">
        <f t="shared" si="324"/>
        <v>2383</v>
      </c>
      <c r="AJ79" s="97">
        <f t="shared" si="325"/>
        <v>2390</v>
      </c>
      <c r="AK79" s="42"/>
      <c r="AL79" s="75">
        <f t="shared" si="326"/>
        <v>0.29820749592612716</v>
      </c>
    </row>
    <row r="80" spans="2:38" ht="12.75" customHeight="1">
      <c r="B80" s="13" t="s">
        <v>15</v>
      </c>
      <c r="C80" s="14">
        <f>SUM(C77:C79)+C74</f>
        <v>15450</v>
      </c>
      <c r="D80" s="14">
        <f>SUM(D77:D79)+D74</f>
        <v>15607</v>
      </c>
      <c r="E80" s="14">
        <f>SUM(E77:E79)+E74</f>
        <v>14897</v>
      </c>
      <c r="F80" s="14">
        <f>SUM(F77:F79)+F74</f>
        <v>15606</v>
      </c>
      <c r="G80" s="14">
        <f>SUM(G77:G79)+G74</f>
        <v>17392</v>
      </c>
      <c r="I80" s="14">
        <f>SUM(I77:I79)+I74</f>
        <v>15181</v>
      </c>
      <c r="J80" s="14">
        <f>SUM(J77:J79)+J74</f>
        <v>15225</v>
      </c>
      <c r="K80" s="14">
        <f>SUM(K77:K79)+K74</f>
        <v>15416</v>
      </c>
      <c r="L80" s="14">
        <f>SUM(L77:L79)+L74</f>
        <v>15607</v>
      </c>
      <c r="M80" s="14">
        <f>SUM(M77:M79)+M74</f>
        <v>15602</v>
      </c>
      <c r="N80" s="14">
        <f>SUM(N77:N79)+N74</f>
        <v>14938</v>
      </c>
      <c r="O80" s="14">
        <f>SUM(O77:O79)+O74</f>
        <v>14307</v>
      </c>
      <c r="P80" s="14">
        <f>SUM(P77:P79)+P74</f>
        <v>14897</v>
      </c>
      <c r="Q80" s="14">
        <f>SUM(Q77:Q79)+Q74</f>
        <v>14783</v>
      </c>
      <c r="R80" s="14">
        <f>SUM(R77:R79)+R74</f>
        <v>15117</v>
      </c>
      <c r="S80" s="14">
        <f>SUM(S77:S79)+S74</f>
        <v>14914</v>
      </c>
      <c r="T80" s="14">
        <f>SUM(T77:T79)+T74</f>
        <v>15606</v>
      </c>
      <c r="U80" s="14">
        <f>SUM(U77:U79)+U74</f>
        <v>16501</v>
      </c>
      <c r="V80" s="14">
        <f>SUM(V77:V79)+V74</f>
        <v>16499</v>
      </c>
      <c r="W80" s="14">
        <f>SUM(W77:W79)+W74</f>
        <v>17123</v>
      </c>
      <c r="X80" s="14">
        <f>SUM(X77:X79)+X74</f>
        <v>17392</v>
      </c>
      <c r="Y80" s="14">
        <f>SUM(Y77:Y79)+Y74</f>
        <v>17694</v>
      </c>
      <c r="Z80" s="14">
        <f>SUM(Z77:Z79)+Z74</f>
        <v>18907</v>
      </c>
      <c r="AA80" s="14">
        <f>SUM(AA77:AA79)+AA74</f>
        <v>19077</v>
      </c>
      <c r="AC80" s="14">
        <f>SUM(AC77:AC79)+AC74</f>
        <v>15606</v>
      </c>
      <c r="AD80" s="14">
        <f>SUM(AD77:AD79)+AD74</f>
        <v>16501</v>
      </c>
      <c r="AE80" s="14">
        <f>SUM(AE77:AE79)+AE74</f>
        <v>16499</v>
      </c>
      <c r="AF80" s="14">
        <f>SUM(AF77:AF79)+AF74</f>
        <v>17123</v>
      </c>
      <c r="AG80" s="14">
        <f>SUM(AG77:AG79)+AG74</f>
        <v>17392</v>
      </c>
      <c r="AH80" s="14">
        <f>SUM(AH77:AH79)+AH74</f>
        <v>17694</v>
      </c>
      <c r="AI80" s="14">
        <f>SUM(AI77:AI79)+AI74</f>
        <v>18907</v>
      </c>
      <c r="AJ80" s="14">
        <f>SUM(AJ77:AJ79)+AJ74</f>
        <v>19077</v>
      </c>
      <c r="AK80" s="42"/>
      <c r="AL80" s="76">
        <f t="shared" si="317"/>
        <v>0.11411551714068802</v>
      </c>
    </row>
    <row r="81" spans="1:38" ht="5.0999999999999996" customHeight="1">
      <c r="B81" s="25"/>
      <c r="C81" s="49"/>
      <c r="D81" s="49"/>
      <c r="E81" s="49"/>
      <c r="F81" s="41"/>
      <c r="G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C81" s="42"/>
      <c r="AD81" s="42"/>
      <c r="AE81" s="42"/>
      <c r="AF81" s="42"/>
      <c r="AG81" s="42"/>
      <c r="AH81" s="42"/>
      <c r="AI81" s="42"/>
      <c r="AJ81" s="42"/>
      <c r="AK81" s="42"/>
      <c r="AL81" s="39"/>
    </row>
    <row r="82" spans="1:38" ht="12.75" customHeight="1">
      <c r="B82" s="9" t="s">
        <v>154</v>
      </c>
      <c r="C82" s="82">
        <v>15327</v>
      </c>
      <c r="D82" s="82">
        <v>16622</v>
      </c>
      <c r="E82" s="82">
        <v>17573</v>
      </c>
      <c r="F82" s="82">
        <v>19530</v>
      </c>
      <c r="G82" s="82">
        <v>22003</v>
      </c>
      <c r="H82" s="32"/>
      <c r="I82" s="82">
        <v>15719</v>
      </c>
      <c r="J82" s="82">
        <v>15943</v>
      </c>
      <c r="K82" s="82">
        <v>16461</v>
      </c>
      <c r="L82" s="82">
        <v>16622</v>
      </c>
      <c r="M82" s="82">
        <v>16735</v>
      </c>
      <c r="N82" s="82">
        <v>17251</v>
      </c>
      <c r="O82" s="82">
        <v>17640</v>
      </c>
      <c r="P82" s="82">
        <v>17573</v>
      </c>
      <c r="Q82" s="82">
        <v>18109</v>
      </c>
      <c r="R82" s="82">
        <v>18485</v>
      </c>
      <c r="S82" s="82">
        <v>19129</v>
      </c>
      <c r="T82" s="32">
        <v>19530</v>
      </c>
      <c r="U82" s="82">
        <v>20168</v>
      </c>
      <c r="V82" s="82">
        <v>20609</v>
      </c>
      <c r="W82" s="82">
        <v>20956</v>
      </c>
      <c r="X82" s="32">
        <v>22003</v>
      </c>
      <c r="Y82" s="82">
        <v>22446</v>
      </c>
      <c r="Z82" s="82">
        <v>22653</v>
      </c>
      <c r="AA82" s="82">
        <v>23630</v>
      </c>
      <c r="AC82" s="32">
        <f>T82</f>
        <v>19530</v>
      </c>
      <c r="AD82" s="32">
        <f>U82</f>
        <v>20168</v>
      </c>
      <c r="AE82" s="32">
        <f>V82</f>
        <v>20609</v>
      </c>
      <c r="AF82" s="32">
        <f>W82</f>
        <v>20956</v>
      </c>
      <c r="AG82" s="32">
        <f>X82</f>
        <v>22003</v>
      </c>
      <c r="AH82" s="32">
        <f>Y82</f>
        <v>22446</v>
      </c>
      <c r="AI82" s="32">
        <f>Z82</f>
        <v>22653</v>
      </c>
      <c r="AJ82" s="32">
        <f>AA82</f>
        <v>23630</v>
      </c>
      <c r="AK82" s="11"/>
      <c r="AL82" s="75">
        <f t="shared" si="317"/>
        <v>0.12760068715403694</v>
      </c>
    </row>
    <row r="83" spans="1:38" ht="12.75" customHeight="1">
      <c r="B83" s="9" t="s">
        <v>137</v>
      </c>
      <c r="C83" s="82"/>
      <c r="D83" s="82"/>
      <c r="E83" s="82"/>
      <c r="F83" s="82"/>
      <c r="G83" s="82"/>
      <c r="H83" s="3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32">
        <f>F83</f>
        <v>0</v>
      </c>
      <c r="U83" s="82"/>
      <c r="V83" s="82"/>
      <c r="W83" s="82"/>
      <c r="X83" s="32">
        <f>G83</f>
        <v>0</v>
      </c>
      <c r="Y83" s="82"/>
      <c r="Z83" s="82"/>
      <c r="AA83" s="82"/>
      <c r="AC83" s="32">
        <f>T83</f>
        <v>0</v>
      </c>
      <c r="AD83" s="32">
        <f>U83</f>
        <v>0</v>
      </c>
      <c r="AE83" s="32">
        <f>V83</f>
        <v>0</v>
      </c>
      <c r="AF83" s="32">
        <f>W83</f>
        <v>0</v>
      </c>
      <c r="AG83" s="32">
        <f>X83</f>
        <v>0</v>
      </c>
      <c r="AH83" s="32">
        <f>Y83</f>
        <v>0</v>
      </c>
      <c r="AI83" s="32">
        <f>Z83</f>
        <v>0</v>
      </c>
      <c r="AJ83" s="32">
        <f>AA83</f>
        <v>0</v>
      </c>
      <c r="AK83" s="11"/>
      <c r="AL83" s="75"/>
    </row>
    <row r="84" spans="1:38" ht="12.75" customHeight="1">
      <c r="B84" s="9" t="s">
        <v>155</v>
      </c>
      <c r="C84" s="82"/>
      <c r="D84" s="82"/>
      <c r="E84" s="82"/>
      <c r="F84" s="82"/>
      <c r="G84" s="82"/>
      <c r="H84" s="3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32">
        <f>F84</f>
        <v>0</v>
      </c>
      <c r="U84" s="82"/>
      <c r="V84" s="82"/>
      <c r="W84" s="82"/>
      <c r="X84" s="32">
        <f>G84</f>
        <v>0</v>
      </c>
      <c r="Y84" s="82"/>
      <c r="Z84" s="82"/>
      <c r="AA84" s="82"/>
      <c r="AC84" s="32">
        <f>T84</f>
        <v>0</v>
      </c>
      <c r="AD84" s="32">
        <f>U84</f>
        <v>0</v>
      </c>
      <c r="AE84" s="32">
        <f>V84</f>
        <v>0</v>
      </c>
      <c r="AF84" s="32">
        <f>W84</f>
        <v>0</v>
      </c>
      <c r="AG84" s="32">
        <f>X84</f>
        <v>0</v>
      </c>
      <c r="AH84" s="32">
        <f>Y84</f>
        <v>0</v>
      </c>
      <c r="AI84" s="32">
        <f>Z84</f>
        <v>0</v>
      </c>
      <c r="AJ84" s="32">
        <f>AA84</f>
        <v>0</v>
      </c>
      <c r="AK84" s="11"/>
      <c r="AL84" s="75"/>
    </row>
    <row r="85" spans="1:38" ht="12.75" customHeight="1">
      <c r="B85" s="9" t="s">
        <v>137</v>
      </c>
      <c r="C85" s="82"/>
      <c r="D85" s="82"/>
      <c r="E85" s="82"/>
      <c r="F85" s="82"/>
      <c r="G85" s="82"/>
      <c r="H85" s="3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32">
        <f>F85</f>
        <v>0</v>
      </c>
      <c r="U85" s="82"/>
      <c r="V85" s="82"/>
      <c r="W85" s="82"/>
      <c r="X85" s="32">
        <f>G85</f>
        <v>0</v>
      </c>
      <c r="Y85" s="82"/>
      <c r="Z85" s="82"/>
      <c r="AA85" s="82"/>
      <c r="AC85" s="32">
        <f>T85</f>
        <v>0</v>
      </c>
      <c r="AD85" s="32">
        <f>U85</f>
        <v>0</v>
      </c>
      <c r="AE85" s="32">
        <f>V85</f>
        <v>0</v>
      </c>
      <c r="AF85" s="32">
        <f>W85</f>
        <v>0</v>
      </c>
      <c r="AG85" s="32">
        <f>X85</f>
        <v>0</v>
      </c>
      <c r="AH85" s="32">
        <f>Y85</f>
        <v>0</v>
      </c>
      <c r="AI85" s="32">
        <f>Z85</f>
        <v>0</v>
      </c>
      <c r="AJ85" s="32">
        <f>AA85</f>
        <v>0</v>
      </c>
      <c r="AK85" s="11"/>
      <c r="AL85" s="75" t="e">
        <f t="shared" si="317"/>
        <v>#DIV/0!</v>
      </c>
    </row>
    <row r="86" spans="1:38" ht="12.75" customHeight="1">
      <c r="B86" s="13" t="s">
        <v>14</v>
      </c>
      <c r="C86" s="14">
        <f t="shared" ref="C86:D86" si="327">SUM(C82:C85)</f>
        <v>15327</v>
      </c>
      <c r="D86" s="14">
        <f t="shared" si="327"/>
        <v>16622</v>
      </c>
      <c r="E86" s="14">
        <f t="shared" ref="E86:G86" si="328">SUM(E82:E85)</f>
        <v>17573</v>
      </c>
      <c r="F86" s="14">
        <f t="shared" si="328"/>
        <v>19530</v>
      </c>
      <c r="G86" s="14">
        <f t="shared" si="328"/>
        <v>22003</v>
      </c>
      <c r="H86" s="52"/>
      <c r="I86" s="14">
        <f t="shared" ref="I86:O86" si="329">SUM(I82:I85)</f>
        <v>15719</v>
      </c>
      <c r="J86" s="14">
        <f t="shared" ref="J86:M86" si="330">SUM(J82:J85)</f>
        <v>15943</v>
      </c>
      <c r="K86" s="14">
        <f t="shared" si="330"/>
        <v>16461</v>
      </c>
      <c r="L86" s="14">
        <f t="shared" si="330"/>
        <v>16622</v>
      </c>
      <c r="M86" s="14">
        <f t="shared" si="329"/>
        <v>16735</v>
      </c>
      <c r="N86" s="14">
        <f t="shared" si="329"/>
        <v>17251</v>
      </c>
      <c r="O86" s="14">
        <f t="shared" si="329"/>
        <v>17640</v>
      </c>
      <c r="P86" s="14">
        <f t="shared" ref="P86" si="331">SUM(P82:P85)</f>
        <v>17573</v>
      </c>
      <c r="Q86" s="14">
        <f t="shared" ref="Q86:AA86" si="332">SUM(Q82:Q85)</f>
        <v>18109</v>
      </c>
      <c r="R86" s="14">
        <f t="shared" si="332"/>
        <v>18485</v>
      </c>
      <c r="S86" s="14">
        <f t="shared" si="332"/>
        <v>19129</v>
      </c>
      <c r="T86" s="14">
        <f t="shared" si="332"/>
        <v>19530</v>
      </c>
      <c r="U86" s="14">
        <f t="shared" si="332"/>
        <v>20168</v>
      </c>
      <c r="V86" s="14">
        <f t="shared" si="332"/>
        <v>20609</v>
      </c>
      <c r="W86" s="14">
        <f t="shared" si="332"/>
        <v>20956</v>
      </c>
      <c r="X86" s="14">
        <f t="shared" si="332"/>
        <v>22003</v>
      </c>
      <c r="Y86" s="14">
        <f t="shared" si="332"/>
        <v>22446</v>
      </c>
      <c r="Z86" s="14">
        <f t="shared" si="332"/>
        <v>22653</v>
      </c>
      <c r="AA86" s="14">
        <f t="shared" si="332"/>
        <v>23630</v>
      </c>
      <c r="AC86" s="14">
        <f t="shared" ref="AC86:AJ86" si="333">SUM(AC82:AC85)</f>
        <v>19530</v>
      </c>
      <c r="AD86" s="14">
        <f t="shared" si="333"/>
        <v>20168</v>
      </c>
      <c r="AE86" s="14">
        <f t="shared" si="333"/>
        <v>20609</v>
      </c>
      <c r="AF86" s="14">
        <f t="shared" si="333"/>
        <v>20956</v>
      </c>
      <c r="AG86" s="14">
        <f t="shared" si="333"/>
        <v>22003</v>
      </c>
      <c r="AH86" s="14">
        <f t="shared" si="333"/>
        <v>22446</v>
      </c>
      <c r="AI86" s="14">
        <f t="shared" si="333"/>
        <v>22653</v>
      </c>
      <c r="AJ86" s="14">
        <f t="shared" si="333"/>
        <v>23630</v>
      </c>
      <c r="AK86" s="42"/>
      <c r="AL86" s="75">
        <f t="shared" si="317"/>
        <v>0.12760068715403694</v>
      </c>
    </row>
    <row r="87" spans="1:38" ht="12.75" customHeight="1">
      <c r="B87" s="25" t="s">
        <v>49</v>
      </c>
      <c r="C87" s="32">
        <f t="shared" ref="C87:D87" si="334">SUM(C86+C80)</f>
        <v>30777</v>
      </c>
      <c r="D87" s="32">
        <f t="shared" si="334"/>
        <v>32229</v>
      </c>
      <c r="E87" s="32">
        <f t="shared" ref="E87:G87" si="335">SUM(E86+E80)</f>
        <v>32470</v>
      </c>
      <c r="F87" s="32">
        <f t="shared" si="335"/>
        <v>35136</v>
      </c>
      <c r="G87" s="32">
        <f t="shared" si="335"/>
        <v>39395</v>
      </c>
      <c r="H87" s="32"/>
      <c r="I87" s="32">
        <f t="shared" ref="I87:O87" si="336">SUM(I86+I80)</f>
        <v>30900</v>
      </c>
      <c r="J87" s="32">
        <f t="shared" ref="J87:M87" si="337">SUM(J86+J80)</f>
        <v>31168</v>
      </c>
      <c r="K87" s="32">
        <f t="shared" si="337"/>
        <v>31877</v>
      </c>
      <c r="L87" s="32">
        <f t="shared" si="337"/>
        <v>32229</v>
      </c>
      <c r="M87" s="32">
        <f t="shared" si="336"/>
        <v>32337</v>
      </c>
      <c r="N87" s="32">
        <f t="shared" si="336"/>
        <v>32189</v>
      </c>
      <c r="O87" s="32">
        <f t="shared" si="336"/>
        <v>31947</v>
      </c>
      <c r="P87" s="32">
        <f t="shared" ref="P87" si="338">SUM(P86+P80)</f>
        <v>32470</v>
      </c>
      <c r="Q87" s="32">
        <f t="shared" ref="Q87:AA87" si="339">SUM(Q86+Q80)</f>
        <v>32892</v>
      </c>
      <c r="R87" s="32">
        <f t="shared" si="339"/>
        <v>33602</v>
      </c>
      <c r="S87" s="32">
        <f t="shared" si="339"/>
        <v>34043</v>
      </c>
      <c r="T87" s="32">
        <f t="shared" si="339"/>
        <v>35136</v>
      </c>
      <c r="U87" s="32">
        <f t="shared" si="339"/>
        <v>36669</v>
      </c>
      <c r="V87" s="32">
        <f t="shared" si="339"/>
        <v>37108</v>
      </c>
      <c r="W87" s="32">
        <f t="shared" si="339"/>
        <v>38079</v>
      </c>
      <c r="X87" s="32">
        <f t="shared" si="339"/>
        <v>39395</v>
      </c>
      <c r="Y87" s="32">
        <f t="shared" si="339"/>
        <v>40140</v>
      </c>
      <c r="Z87" s="32">
        <f t="shared" si="339"/>
        <v>41560</v>
      </c>
      <c r="AA87" s="32">
        <f t="shared" si="339"/>
        <v>42707</v>
      </c>
      <c r="AB87" s="32"/>
      <c r="AC87" s="32">
        <f t="shared" ref="AC87:AJ87" si="340">SUM(AC86+AC80)</f>
        <v>35136</v>
      </c>
      <c r="AD87" s="32">
        <f t="shared" si="340"/>
        <v>36669</v>
      </c>
      <c r="AE87" s="32">
        <f t="shared" si="340"/>
        <v>37108</v>
      </c>
      <c r="AF87" s="32">
        <f t="shared" si="340"/>
        <v>38079</v>
      </c>
      <c r="AG87" s="32">
        <f t="shared" si="340"/>
        <v>39395</v>
      </c>
      <c r="AH87" s="32">
        <f t="shared" si="340"/>
        <v>40140</v>
      </c>
      <c r="AI87" s="32">
        <f t="shared" si="340"/>
        <v>41560</v>
      </c>
      <c r="AJ87" s="32">
        <f t="shared" si="340"/>
        <v>42707</v>
      </c>
      <c r="AK87" s="11"/>
      <c r="AL87" s="76">
        <f t="shared" si="317"/>
        <v>0.12153680506315823</v>
      </c>
    </row>
    <row r="88" spans="1:38" ht="5.0999999999999996" customHeight="1">
      <c r="B88" s="25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11"/>
    </row>
    <row r="89" spans="1:38" ht="12.75" customHeight="1">
      <c r="B89" s="139" t="s">
        <v>58</v>
      </c>
      <c r="C89" s="69">
        <f>C87-C67</f>
        <v>0</v>
      </c>
      <c r="D89" s="69">
        <f>D87-D67</f>
        <v>0</v>
      </c>
      <c r="E89" s="69">
        <f>E87-E67</f>
        <v>0</v>
      </c>
      <c r="F89" s="69">
        <f>F87-F67</f>
        <v>0</v>
      </c>
      <c r="G89" s="69">
        <f>G87-G67</f>
        <v>0</v>
      </c>
      <c r="H89" s="70"/>
      <c r="I89" s="69">
        <f>I87-I67</f>
        <v>0</v>
      </c>
      <c r="J89" s="69">
        <f>J87-J67</f>
        <v>0</v>
      </c>
      <c r="K89" s="69">
        <f>K87-K67</f>
        <v>0</v>
      </c>
      <c r="L89" s="69">
        <f>L87-L67</f>
        <v>0</v>
      </c>
      <c r="M89" s="69">
        <f>M87-M67</f>
        <v>0</v>
      </c>
      <c r="N89" s="69">
        <f>N87-N67</f>
        <v>0</v>
      </c>
      <c r="O89" s="69">
        <f>O87-O67</f>
        <v>0</v>
      </c>
      <c r="P89" s="69">
        <f>P87-P67</f>
        <v>0</v>
      </c>
      <c r="Q89" s="69">
        <f>Q87-Q67</f>
        <v>0</v>
      </c>
      <c r="R89" s="69">
        <f>R87-R67</f>
        <v>0</v>
      </c>
      <c r="S89" s="69">
        <f>S87-S67</f>
        <v>1</v>
      </c>
      <c r="T89" s="69">
        <f>T87-T67</f>
        <v>0</v>
      </c>
      <c r="U89" s="69">
        <f>U87-U67</f>
        <v>0</v>
      </c>
      <c r="V89" s="69">
        <f>V87-V67</f>
        <v>0</v>
      </c>
      <c r="W89" s="69">
        <f>W87-W67</f>
        <v>0</v>
      </c>
      <c r="X89" s="69">
        <f>X87-X67</f>
        <v>0</v>
      </c>
      <c r="Y89" s="69">
        <f>Y87-Y67</f>
        <v>0</v>
      </c>
      <c r="Z89" s="69">
        <f>Z87-Z67</f>
        <v>0</v>
      </c>
      <c r="AA89" s="69">
        <f>AA87-AA67</f>
        <v>0</v>
      </c>
      <c r="AB89" s="28"/>
      <c r="AC89" s="69">
        <f>AC87-AC67</f>
        <v>0</v>
      </c>
      <c r="AD89" s="69">
        <f>AD87-AD67</f>
        <v>0</v>
      </c>
      <c r="AE89" s="69">
        <f>AE87-AE67</f>
        <v>0</v>
      </c>
      <c r="AF89" s="69">
        <f>AF87-AF67</f>
        <v>0</v>
      </c>
      <c r="AG89" s="69">
        <f>AG87-AG67</f>
        <v>0</v>
      </c>
      <c r="AH89" s="69">
        <f>AH87-AH67</f>
        <v>0</v>
      </c>
      <c r="AI89" s="69">
        <f>AI87-AI67</f>
        <v>0</v>
      </c>
      <c r="AJ89" s="69">
        <f>AJ87-AJ67</f>
        <v>0</v>
      </c>
    </row>
    <row r="90" spans="1:38" ht="5.0999999999999996" customHeight="1" thickBot="1">
      <c r="B90" s="116"/>
      <c r="C90" s="117"/>
      <c r="D90" s="117"/>
      <c r="E90" s="117"/>
      <c r="F90" s="117"/>
      <c r="G90" s="117"/>
      <c r="H90" s="118"/>
      <c r="I90" s="117"/>
      <c r="J90" s="117"/>
      <c r="K90" s="117"/>
      <c r="L90" s="117"/>
      <c r="M90" s="117"/>
      <c r="N90" s="117"/>
      <c r="O90" s="117"/>
      <c r="P90" s="117"/>
      <c r="Q90" s="117"/>
      <c r="R90" s="117"/>
      <c r="S90" s="117"/>
      <c r="T90" s="117"/>
      <c r="U90" s="117"/>
      <c r="V90" s="117"/>
      <c r="W90" s="117"/>
      <c r="X90" s="117"/>
      <c r="Y90" s="117"/>
      <c r="Z90" s="117"/>
      <c r="AA90" s="117"/>
      <c r="AB90" s="119"/>
      <c r="AC90" s="117"/>
      <c r="AD90" s="117"/>
      <c r="AE90" s="117"/>
      <c r="AF90" s="117"/>
      <c r="AG90" s="117"/>
      <c r="AH90" s="117"/>
      <c r="AI90" s="117"/>
      <c r="AJ90" s="117"/>
      <c r="AK90" s="73"/>
      <c r="AL90" s="73"/>
    </row>
    <row r="91" spans="1:38">
      <c r="B91" s="68"/>
      <c r="C91" s="24"/>
      <c r="D91" s="24"/>
      <c r="E91" s="24"/>
      <c r="F91" s="24"/>
      <c r="G91" s="24"/>
      <c r="H91" s="53"/>
    </row>
    <row r="92" spans="1:38" ht="12.75" customHeight="1">
      <c r="A92" s="5" t="s">
        <v>16</v>
      </c>
      <c r="B92" s="98" t="s">
        <v>13</v>
      </c>
      <c r="C92" s="102"/>
      <c r="D92" s="102"/>
      <c r="E92" s="102"/>
      <c r="F92" s="102"/>
      <c r="G92" s="102"/>
      <c r="H92" s="103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98"/>
      <c r="AC92" s="102"/>
      <c r="AD92" s="102"/>
      <c r="AE92" s="102" t="s">
        <v>10</v>
      </c>
      <c r="AF92" s="102"/>
      <c r="AG92" s="102"/>
      <c r="AH92" s="102"/>
      <c r="AI92" s="102"/>
      <c r="AJ92" s="102"/>
      <c r="AK92" s="103"/>
      <c r="AL92" s="164" t="s">
        <v>22</v>
      </c>
    </row>
    <row r="93" spans="1:38" ht="12.75" customHeight="1">
      <c r="B93" s="99" t="str">
        <f>B7</f>
        <v>Fiscal Period</v>
      </c>
      <c r="C93" s="104">
        <f>C7</f>
        <v>2020</v>
      </c>
      <c r="D93" s="104">
        <f>D7</f>
        <v>2021</v>
      </c>
      <c r="E93" s="104">
        <f>E7</f>
        <v>2022</v>
      </c>
      <c r="F93" s="104">
        <f>F7</f>
        <v>2023</v>
      </c>
      <c r="G93" s="104">
        <f>G7</f>
        <v>2024</v>
      </c>
      <c r="H93" s="103"/>
      <c r="I93" s="104" t="str">
        <f>I7</f>
        <v>1Q21</v>
      </c>
      <c r="J93" s="104" t="str">
        <f>J7</f>
        <v>2Q21</v>
      </c>
      <c r="K93" s="104" t="str">
        <f>K7</f>
        <v>3Q21</v>
      </c>
      <c r="L93" s="104" t="str">
        <f>L7</f>
        <v>4Q21</v>
      </c>
      <c r="M93" s="104" t="str">
        <f>M7</f>
        <v>1Q22</v>
      </c>
      <c r="N93" s="104" t="str">
        <f>N7</f>
        <v>2Q22</v>
      </c>
      <c r="O93" s="104" t="str">
        <f>O7</f>
        <v>3Q22</v>
      </c>
      <c r="P93" s="104" t="str">
        <f>P7</f>
        <v>4Q22</v>
      </c>
      <c r="Q93" s="104" t="str">
        <f>Q7</f>
        <v>1Q23</v>
      </c>
      <c r="R93" s="104" t="str">
        <f>R7</f>
        <v>2Q23</v>
      </c>
      <c r="S93" s="104" t="str">
        <f>S7</f>
        <v>3Q23</v>
      </c>
      <c r="T93" s="104" t="str">
        <f>T7</f>
        <v>4Q23</v>
      </c>
      <c r="U93" s="104" t="str">
        <f>U7</f>
        <v>1Q24</v>
      </c>
      <c r="V93" s="104" t="str">
        <f>V7</f>
        <v>2Q24</v>
      </c>
      <c r="W93" s="104" t="str">
        <f>W7</f>
        <v>3Q24</v>
      </c>
      <c r="X93" s="104" t="str">
        <f>X7</f>
        <v>4Q24</v>
      </c>
      <c r="Y93" s="104" t="str">
        <f>Y7</f>
        <v>1Q25</v>
      </c>
      <c r="Z93" s="104" t="str">
        <f>Z7</f>
        <v>2Q25</v>
      </c>
      <c r="AA93" s="104" t="str">
        <f>AA7</f>
        <v>3Q25</v>
      </c>
      <c r="AB93" s="104"/>
      <c r="AC93" s="104" t="str">
        <f>AC7</f>
        <v>4Q23</v>
      </c>
      <c r="AD93" s="104" t="str">
        <f>AD7</f>
        <v>1Q24</v>
      </c>
      <c r="AE93" s="104" t="str">
        <f>AE7</f>
        <v>2Q24</v>
      </c>
      <c r="AF93" s="104" t="str">
        <f>AF7</f>
        <v>3Q24</v>
      </c>
      <c r="AG93" s="104" t="str">
        <f>AG7</f>
        <v>4Q24</v>
      </c>
      <c r="AH93" s="104" t="str">
        <f>AH7</f>
        <v>1Q25</v>
      </c>
      <c r="AI93" s="104" t="str">
        <f>AI7</f>
        <v>2Q25</v>
      </c>
      <c r="AJ93" s="104" t="str">
        <f>AJ7</f>
        <v>3Q25</v>
      </c>
      <c r="AK93" s="103"/>
      <c r="AL93" s="164"/>
    </row>
    <row r="94" spans="1:38" ht="12.75" customHeight="1">
      <c r="B94" s="99" t="str">
        <f>B8</f>
        <v>Fiscal Period End Date</v>
      </c>
      <c r="C94" s="105">
        <f>C8</f>
        <v>0</v>
      </c>
      <c r="D94" s="105">
        <f>D8</f>
        <v>0</v>
      </c>
      <c r="E94" s="105">
        <f>E8</f>
        <v>0</v>
      </c>
      <c r="F94" s="105">
        <f>F8</f>
        <v>0</v>
      </c>
      <c r="G94" s="105">
        <f>G8</f>
        <v>0</v>
      </c>
      <c r="H94" s="103"/>
      <c r="I94" s="105">
        <f>I8</f>
        <v>0</v>
      </c>
      <c r="J94" s="105">
        <f>J8</f>
        <v>0</v>
      </c>
      <c r="K94" s="105">
        <f>K8</f>
        <v>0</v>
      </c>
      <c r="L94" s="105">
        <f>L8</f>
        <v>0</v>
      </c>
      <c r="M94" s="105">
        <f>M8</f>
        <v>0</v>
      </c>
      <c r="N94" s="105">
        <f>N8</f>
        <v>0</v>
      </c>
      <c r="O94" s="105">
        <f>O8</f>
        <v>0</v>
      </c>
      <c r="P94" s="105">
        <f>P8</f>
        <v>0</v>
      </c>
      <c r="Q94" s="105">
        <f>Q8</f>
        <v>0</v>
      </c>
      <c r="R94" s="105">
        <f>R8</f>
        <v>0</v>
      </c>
      <c r="S94" s="105">
        <f>S8</f>
        <v>0</v>
      </c>
      <c r="T94" s="105">
        <f>T8</f>
        <v>0</v>
      </c>
      <c r="U94" s="105">
        <f>U8</f>
        <v>0</v>
      </c>
      <c r="V94" s="105">
        <f>V8</f>
        <v>0</v>
      </c>
      <c r="W94" s="105">
        <f>W8</f>
        <v>0</v>
      </c>
      <c r="X94" s="105">
        <f>X8</f>
        <v>0</v>
      </c>
      <c r="Y94" s="105">
        <f>Y8</f>
        <v>0</v>
      </c>
      <c r="Z94" s="105">
        <f>Z8</f>
        <v>0</v>
      </c>
      <c r="AA94" s="105">
        <f>AA8</f>
        <v>0</v>
      </c>
      <c r="AB94" s="105"/>
      <c r="AC94" s="105">
        <f>AC8</f>
        <v>0</v>
      </c>
      <c r="AD94" s="105">
        <f>AD8</f>
        <v>0</v>
      </c>
      <c r="AE94" s="105">
        <f>AE8</f>
        <v>0</v>
      </c>
      <c r="AF94" s="105">
        <f>AF8</f>
        <v>0</v>
      </c>
      <c r="AG94" s="105">
        <f>AG8</f>
        <v>0</v>
      </c>
      <c r="AH94" s="105">
        <f>AH8</f>
        <v>0</v>
      </c>
      <c r="AI94" s="105">
        <f>AI8</f>
        <v>0</v>
      </c>
      <c r="AJ94" s="105">
        <f>AJ8</f>
        <v>0</v>
      </c>
      <c r="AK94" s="103"/>
      <c r="AL94" s="164"/>
    </row>
    <row r="95" spans="1:38" ht="5.0999999999999996" customHeight="1">
      <c r="B95" s="54"/>
      <c r="C95" s="47"/>
      <c r="D95" s="47"/>
      <c r="E95" s="47"/>
      <c r="F95" s="47"/>
      <c r="G95" s="47"/>
    </row>
    <row r="96" spans="1:38" ht="12.75" customHeight="1">
      <c r="B96" s="55" t="s">
        <v>50</v>
      </c>
      <c r="C96" s="56"/>
      <c r="D96" s="56"/>
      <c r="E96" s="56"/>
      <c r="F96" s="56"/>
      <c r="G96" s="56"/>
    </row>
    <row r="97" spans="2:38" ht="12.75" customHeight="1">
      <c r="B97" s="57" t="s">
        <v>105</v>
      </c>
      <c r="C97" s="32">
        <f>C35</f>
        <v>-81</v>
      </c>
      <c r="D97" s="32">
        <f>D35</f>
        <v>1039</v>
      </c>
      <c r="E97" s="32">
        <f>E35</f>
        <v>696</v>
      </c>
      <c r="F97" s="32">
        <f>F35</f>
        <v>1592</v>
      </c>
      <c r="G97" s="32">
        <f>G35</f>
        <v>1848</v>
      </c>
      <c r="H97" s="32"/>
      <c r="I97" s="32">
        <f>I35</f>
        <v>341</v>
      </c>
      <c r="J97" s="32">
        <f>J35</f>
        <v>186</v>
      </c>
      <c r="K97" s="32">
        <f>K35</f>
        <v>419</v>
      </c>
      <c r="L97" s="32">
        <f>L35</f>
        <v>93</v>
      </c>
      <c r="M97" s="32">
        <f>M35</f>
        <v>111</v>
      </c>
      <c r="N97" s="32">
        <f>N35</f>
        <v>260</v>
      </c>
      <c r="O97" s="32">
        <f>O35</f>
        <v>188</v>
      </c>
      <c r="P97" s="32">
        <f>P35</f>
        <v>137</v>
      </c>
      <c r="Q97" s="32">
        <f>Q35</f>
        <v>314</v>
      </c>
      <c r="R97" s="32">
        <f>R35</f>
        <v>270</v>
      </c>
      <c r="S97" s="32">
        <f>S35</f>
        <v>504</v>
      </c>
      <c r="T97" s="32">
        <f>T35</f>
        <v>504</v>
      </c>
      <c r="U97" s="32">
        <f>U35</f>
        <v>493</v>
      </c>
      <c r="V97" s="32">
        <f>V35</f>
        <v>322</v>
      </c>
      <c r="W97" s="32">
        <f>W35</f>
        <v>468</v>
      </c>
      <c r="X97" s="32">
        <f>X35</f>
        <v>565</v>
      </c>
      <c r="Y97" s="32">
        <f>Y35</f>
        <v>672</v>
      </c>
      <c r="Z97" s="32">
        <f>Z35</f>
        <v>796</v>
      </c>
      <c r="AA97" s="32">
        <f>AA35</f>
        <v>755</v>
      </c>
      <c r="AB97" s="32"/>
      <c r="AC97" s="32">
        <f>AC35</f>
        <v>1592</v>
      </c>
      <c r="AD97" s="32">
        <f>AD35</f>
        <v>1771</v>
      </c>
      <c r="AE97" s="32">
        <f>AE35</f>
        <v>1823</v>
      </c>
      <c r="AF97" s="32">
        <f>AF35</f>
        <v>1787</v>
      </c>
      <c r="AG97" s="32">
        <f>AG35</f>
        <v>1848</v>
      </c>
      <c r="AH97" s="32">
        <f>AH35</f>
        <v>2027</v>
      </c>
      <c r="AI97" s="32">
        <f>AI35</f>
        <v>2501</v>
      </c>
      <c r="AJ97" s="32">
        <f>AJ35</f>
        <v>2788</v>
      </c>
      <c r="AK97" s="11"/>
      <c r="AL97" s="75">
        <f>SUM(AJ97/AF97)-1</f>
        <v>0.5601566871852266</v>
      </c>
    </row>
    <row r="98" spans="2:38" ht="5.0999999999999996" customHeight="1"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C98" s="32"/>
      <c r="AD98" s="32"/>
      <c r="AE98" s="32"/>
      <c r="AF98" s="32"/>
      <c r="AG98" s="32"/>
      <c r="AH98" s="32"/>
      <c r="AI98" s="32"/>
      <c r="AJ98" s="32"/>
      <c r="AK98" s="11"/>
      <c r="AL98" s="75"/>
    </row>
    <row r="99" spans="2:38" ht="12.75" customHeight="1">
      <c r="B99" s="36" t="s">
        <v>57</v>
      </c>
      <c r="C99" s="32"/>
      <c r="D99" s="32"/>
      <c r="E99" s="32"/>
      <c r="F99" s="32"/>
      <c r="G99" s="32"/>
      <c r="H99" s="3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32"/>
      <c r="U99" s="82"/>
      <c r="V99" s="82"/>
      <c r="W99" s="82"/>
      <c r="X99" s="32"/>
      <c r="Y99" s="82"/>
      <c r="Z99" s="82"/>
      <c r="AA99" s="82"/>
      <c r="AC99" s="32"/>
      <c r="AD99" s="32"/>
      <c r="AE99" s="32"/>
      <c r="AF99" s="32"/>
      <c r="AG99" s="32"/>
      <c r="AH99" s="32"/>
      <c r="AI99" s="32"/>
      <c r="AJ99" s="32"/>
      <c r="AK99" s="59"/>
      <c r="AL99" s="75"/>
    </row>
    <row r="100" spans="2:38" ht="12.75" customHeight="1">
      <c r="B100" s="60" t="s">
        <v>138</v>
      </c>
      <c r="C100" s="82"/>
      <c r="D100" s="82"/>
      <c r="E100" s="82"/>
      <c r="F100" s="82"/>
      <c r="G100" s="82"/>
      <c r="H100" s="3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32">
        <f>SUM(F100-SUM(Q100:S100))</f>
        <v>0</v>
      </c>
      <c r="U100" s="82"/>
      <c r="V100" s="82"/>
      <c r="W100" s="82"/>
      <c r="X100" s="32">
        <f>SUM(G100-SUM(U100:W100))</f>
        <v>0</v>
      </c>
      <c r="Y100" s="82"/>
      <c r="Z100" s="82"/>
      <c r="AA100" s="82"/>
      <c r="AC100" s="32">
        <f>SUM(Q100:T100)</f>
        <v>0</v>
      </c>
      <c r="AD100" s="32">
        <f>SUM(R100:U100)</f>
        <v>0</v>
      </c>
      <c r="AE100" s="32">
        <f>SUM(S100:V100)</f>
        <v>0</v>
      </c>
      <c r="AF100" s="32">
        <f>SUM(T100:W100)</f>
        <v>0</v>
      </c>
      <c r="AG100" s="32">
        <f>SUM(U100:X100)</f>
        <v>0</v>
      </c>
      <c r="AH100" s="32">
        <f>SUM(V100:Y100)</f>
        <v>0</v>
      </c>
      <c r="AI100" s="32">
        <f>SUM(W100:Z100)</f>
        <v>0</v>
      </c>
      <c r="AJ100" s="32">
        <f>SUM(X100:AA100)</f>
        <v>0</v>
      </c>
      <c r="AK100" s="11"/>
      <c r="AL100" s="75" t="e">
        <f t="shared" ref="AL100:AL106" si="341">SUM(AJ100/AF100)-1</f>
        <v>#DIV/0!</v>
      </c>
    </row>
    <row r="101" spans="2:38" ht="12.75" customHeight="1">
      <c r="B101" s="60" t="s">
        <v>139</v>
      </c>
      <c r="C101" s="82"/>
      <c r="D101" s="82"/>
      <c r="E101" s="82"/>
      <c r="F101" s="82"/>
      <c r="G101" s="82"/>
      <c r="H101" s="3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32">
        <f>SUM(F101-SUM(Q101:S101))</f>
        <v>0</v>
      </c>
      <c r="U101" s="82"/>
      <c r="V101" s="82"/>
      <c r="W101" s="82"/>
      <c r="X101" s="32">
        <f>SUM(G101-SUM(U101:W101))</f>
        <v>0</v>
      </c>
      <c r="Y101" s="82"/>
      <c r="Z101" s="82"/>
      <c r="AA101" s="82"/>
      <c r="AC101" s="32">
        <f>SUM(Q101:T101)</f>
        <v>0</v>
      </c>
      <c r="AD101" s="32">
        <f>SUM(R101:U101)</f>
        <v>0</v>
      </c>
      <c r="AE101" s="32">
        <f>SUM(S101:V101)</f>
        <v>0</v>
      </c>
      <c r="AF101" s="32">
        <f>SUM(T101:W101)</f>
        <v>0</v>
      </c>
      <c r="AG101" s="32">
        <f>SUM(U101:X101)</f>
        <v>0</v>
      </c>
      <c r="AH101" s="32">
        <f>SUM(V101:Y101)</f>
        <v>0</v>
      </c>
      <c r="AI101" s="32">
        <f>SUM(W101:Z101)</f>
        <v>0</v>
      </c>
      <c r="AJ101" s="32">
        <f>SUM(X101:AA101)</f>
        <v>0</v>
      </c>
      <c r="AK101" s="11"/>
      <c r="AL101" s="75" t="e">
        <f t="shared" ref="AL101" si="342">SUM(AJ101/AF101)-1</f>
        <v>#DIV/0!</v>
      </c>
    </row>
    <row r="102" spans="2:38" ht="12.75" customHeight="1">
      <c r="B102" s="60" t="s">
        <v>140</v>
      </c>
      <c r="C102" s="82"/>
      <c r="D102" s="82"/>
      <c r="E102" s="82"/>
      <c r="F102" s="82"/>
      <c r="G102" s="82"/>
      <c r="H102" s="3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32">
        <f>SUM(F102-SUM(Q102:S102))</f>
        <v>0</v>
      </c>
      <c r="U102" s="82"/>
      <c r="V102" s="82"/>
      <c r="W102" s="82"/>
      <c r="X102" s="32">
        <f>SUM(G102-SUM(U102:W102))</f>
        <v>0</v>
      </c>
      <c r="Y102" s="82"/>
      <c r="Z102" s="82"/>
      <c r="AA102" s="82"/>
      <c r="AC102" s="32">
        <f>SUM(Q102:T102)</f>
        <v>0</v>
      </c>
      <c r="AD102" s="32">
        <f>SUM(R102:U102)</f>
        <v>0</v>
      </c>
      <c r="AE102" s="32">
        <f>SUM(S102:V102)</f>
        <v>0</v>
      </c>
      <c r="AF102" s="32">
        <f>SUM(T102:W102)</f>
        <v>0</v>
      </c>
      <c r="AG102" s="32">
        <f>SUM(U102:X102)</f>
        <v>0</v>
      </c>
      <c r="AH102" s="32">
        <f>SUM(V102:Y102)</f>
        <v>0</v>
      </c>
      <c r="AI102" s="32">
        <f>SUM(W102:Z102)</f>
        <v>0</v>
      </c>
      <c r="AJ102" s="32">
        <f>SUM(X102:AA102)</f>
        <v>0</v>
      </c>
      <c r="AK102" s="11"/>
      <c r="AL102" s="75" t="e">
        <f t="shared" si="341"/>
        <v>#DIV/0!</v>
      </c>
    </row>
    <row r="103" spans="2:38" ht="12.75" customHeight="1">
      <c r="B103" s="60" t="s">
        <v>141</v>
      </c>
      <c r="C103" s="82"/>
      <c r="D103" s="82"/>
      <c r="E103" s="82"/>
      <c r="F103" s="82"/>
      <c r="G103" s="82"/>
      <c r="H103" s="3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32">
        <f>SUM(F103-SUM(Q103:S103))</f>
        <v>0</v>
      </c>
      <c r="U103" s="82"/>
      <c r="V103" s="82"/>
      <c r="W103" s="82"/>
      <c r="X103" s="32">
        <f>SUM(G103-SUM(U103:W103))</f>
        <v>0</v>
      </c>
      <c r="Y103" s="82"/>
      <c r="Z103" s="82"/>
      <c r="AA103" s="82"/>
      <c r="AC103" s="32">
        <f>SUM(Q103:T103)</f>
        <v>0</v>
      </c>
      <c r="AD103" s="32">
        <f>SUM(R103:U103)</f>
        <v>0</v>
      </c>
      <c r="AE103" s="32">
        <f>SUM(S103:V103)</f>
        <v>0</v>
      </c>
      <c r="AF103" s="32">
        <f>SUM(T103:W103)</f>
        <v>0</v>
      </c>
      <c r="AG103" s="32">
        <f>SUM(U103:X103)</f>
        <v>0</v>
      </c>
      <c r="AH103" s="32">
        <f>SUM(V103:Y103)</f>
        <v>0</v>
      </c>
      <c r="AI103" s="32">
        <f>SUM(W103:Z103)</f>
        <v>0</v>
      </c>
      <c r="AJ103" s="32">
        <f>SUM(X103:AA103)</f>
        <v>0</v>
      </c>
      <c r="AK103" s="11"/>
      <c r="AL103" s="75" t="e">
        <f t="shared" si="341"/>
        <v>#DIV/0!</v>
      </c>
    </row>
    <row r="104" spans="2:38" ht="12.75" customHeight="1">
      <c r="B104" s="60" t="s">
        <v>142</v>
      </c>
      <c r="C104" s="82"/>
      <c r="D104" s="82"/>
      <c r="E104" s="82"/>
      <c r="F104" s="82"/>
      <c r="G104" s="82"/>
      <c r="H104" s="3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32">
        <f>SUM(F104-SUM(Q104:S104))</f>
        <v>0</v>
      </c>
      <c r="U104" s="82"/>
      <c r="V104" s="82"/>
      <c r="W104" s="82"/>
      <c r="X104" s="32">
        <f>SUM(G104-SUM(U104:W104))</f>
        <v>0</v>
      </c>
      <c r="Y104" s="82"/>
      <c r="Z104" s="82"/>
      <c r="AA104" s="82"/>
      <c r="AC104" s="32">
        <f>SUM(Q104:T104)</f>
        <v>0</v>
      </c>
      <c r="AD104" s="32">
        <f>SUM(R104:U104)</f>
        <v>0</v>
      </c>
      <c r="AE104" s="32">
        <f>SUM(S104:V104)</f>
        <v>0</v>
      </c>
      <c r="AF104" s="32">
        <f>SUM(T104:W104)</f>
        <v>0</v>
      </c>
      <c r="AG104" s="32">
        <f>SUM(U104:X104)</f>
        <v>0</v>
      </c>
      <c r="AH104" s="32">
        <f>SUM(V104:Y104)</f>
        <v>0</v>
      </c>
      <c r="AI104" s="32">
        <f>SUM(W104:Z104)</f>
        <v>0</v>
      </c>
      <c r="AJ104" s="32">
        <f>SUM(X104:AA104)</f>
        <v>0</v>
      </c>
      <c r="AK104" s="11"/>
      <c r="AL104" s="75" t="e">
        <f t="shared" si="341"/>
        <v>#DIV/0!</v>
      </c>
    </row>
    <row r="105" spans="2:38" ht="12.75" customHeight="1">
      <c r="B105" s="60" t="s">
        <v>143</v>
      </c>
      <c r="C105" s="82"/>
      <c r="D105" s="82"/>
      <c r="E105" s="82"/>
      <c r="F105" s="82"/>
      <c r="G105" s="82"/>
      <c r="H105" s="3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32">
        <f>SUM(F105-SUM(Q105:S105))</f>
        <v>0</v>
      </c>
      <c r="U105" s="82"/>
      <c r="V105" s="82"/>
      <c r="W105" s="82"/>
      <c r="X105" s="32">
        <f>SUM(G105-SUM(U105:W105))</f>
        <v>0</v>
      </c>
      <c r="Y105" s="82"/>
      <c r="Z105" s="82"/>
      <c r="AA105" s="82"/>
      <c r="AC105" s="32">
        <f>SUM(Q105:T105)</f>
        <v>0</v>
      </c>
      <c r="AD105" s="32">
        <f>SUM(R105:U105)</f>
        <v>0</v>
      </c>
      <c r="AE105" s="32">
        <f>SUM(S105:V105)</f>
        <v>0</v>
      </c>
      <c r="AF105" s="32">
        <f>SUM(T105:W105)</f>
        <v>0</v>
      </c>
      <c r="AG105" s="32">
        <f>SUM(U105:X105)</f>
        <v>0</v>
      </c>
      <c r="AH105" s="32">
        <f>SUM(V105:Y105)</f>
        <v>0</v>
      </c>
      <c r="AI105" s="32">
        <f>SUM(W105:Z105)</f>
        <v>0</v>
      </c>
      <c r="AJ105" s="32">
        <f>SUM(X105:AA105)</f>
        <v>0</v>
      </c>
      <c r="AK105" s="11"/>
      <c r="AL105" s="75" t="e">
        <f t="shared" si="341"/>
        <v>#DIV/0!</v>
      </c>
    </row>
    <row r="106" spans="2:38" ht="12.75" customHeight="1">
      <c r="B106" s="13" t="s">
        <v>51</v>
      </c>
      <c r="C106" s="14">
        <f t="shared" ref="C106:D106" si="343">SUM(C97:C105)</f>
        <v>-81</v>
      </c>
      <c r="D106" s="14">
        <f t="shared" si="343"/>
        <v>1039</v>
      </c>
      <c r="E106" s="14">
        <f t="shared" ref="E106:G106" si="344">SUM(E97:E105)</f>
        <v>696</v>
      </c>
      <c r="F106" s="14">
        <f t="shared" si="344"/>
        <v>1592</v>
      </c>
      <c r="G106" s="14">
        <f t="shared" si="344"/>
        <v>1848</v>
      </c>
      <c r="I106" s="14">
        <f t="shared" ref="I106:O106" si="345">SUM(I97:I105)</f>
        <v>341</v>
      </c>
      <c r="J106" s="14">
        <f t="shared" ref="J106:M106" si="346">SUM(J97:J105)</f>
        <v>186</v>
      </c>
      <c r="K106" s="14">
        <f t="shared" si="346"/>
        <v>419</v>
      </c>
      <c r="L106" s="14">
        <f t="shared" si="346"/>
        <v>93</v>
      </c>
      <c r="M106" s="14">
        <f t="shared" si="345"/>
        <v>111</v>
      </c>
      <c r="N106" s="14">
        <f t="shared" si="345"/>
        <v>260</v>
      </c>
      <c r="O106" s="14">
        <f t="shared" si="345"/>
        <v>188</v>
      </c>
      <c r="P106" s="14">
        <f t="shared" ref="P106" si="347">SUM(P97:P105)</f>
        <v>137</v>
      </c>
      <c r="Q106" s="14">
        <f t="shared" ref="Q106:AA106" si="348">SUM(Q97:Q105)</f>
        <v>314</v>
      </c>
      <c r="R106" s="14">
        <f t="shared" si="348"/>
        <v>270</v>
      </c>
      <c r="S106" s="14">
        <f t="shared" si="348"/>
        <v>504</v>
      </c>
      <c r="T106" s="14">
        <f t="shared" si="348"/>
        <v>504</v>
      </c>
      <c r="U106" s="14">
        <f t="shared" si="348"/>
        <v>493</v>
      </c>
      <c r="V106" s="14">
        <f t="shared" si="348"/>
        <v>322</v>
      </c>
      <c r="W106" s="14">
        <f t="shared" si="348"/>
        <v>468</v>
      </c>
      <c r="X106" s="14">
        <f t="shared" si="348"/>
        <v>565</v>
      </c>
      <c r="Y106" s="14">
        <f t="shared" si="348"/>
        <v>672</v>
      </c>
      <c r="Z106" s="14">
        <f t="shared" si="348"/>
        <v>796</v>
      </c>
      <c r="AA106" s="14">
        <f t="shared" si="348"/>
        <v>755</v>
      </c>
      <c r="AC106" s="14">
        <f t="shared" ref="AC106:AJ106" si="349">SUM(AC97:AC105)</f>
        <v>1592</v>
      </c>
      <c r="AD106" s="14">
        <f t="shared" si="349"/>
        <v>1771</v>
      </c>
      <c r="AE106" s="14">
        <f t="shared" si="349"/>
        <v>1823</v>
      </c>
      <c r="AF106" s="14">
        <f t="shared" si="349"/>
        <v>1787</v>
      </c>
      <c r="AG106" s="14">
        <f t="shared" si="349"/>
        <v>1848</v>
      </c>
      <c r="AH106" s="14">
        <f t="shared" si="349"/>
        <v>2027</v>
      </c>
      <c r="AI106" s="14">
        <f t="shared" si="349"/>
        <v>2501</v>
      </c>
      <c r="AJ106" s="14">
        <f t="shared" si="349"/>
        <v>2788</v>
      </c>
      <c r="AK106" s="42"/>
      <c r="AL106" s="76">
        <f t="shared" si="341"/>
        <v>0.5601566871852266</v>
      </c>
    </row>
    <row r="107" spans="2:38" ht="12.75" customHeight="1">
      <c r="B107" s="53"/>
      <c r="C107" s="61"/>
      <c r="D107" s="61"/>
      <c r="E107" s="61"/>
      <c r="F107" s="61"/>
      <c r="G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C107" s="42"/>
      <c r="AD107" s="42"/>
      <c r="AE107" s="42"/>
      <c r="AF107" s="42"/>
      <c r="AG107" s="42"/>
      <c r="AH107" s="42"/>
      <c r="AI107" s="42"/>
      <c r="AJ107" s="42"/>
      <c r="AK107" s="42"/>
      <c r="AL107" s="39"/>
    </row>
    <row r="108" spans="2:38" ht="12.75" customHeight="1">
      <c r="B108" s="53" t="s">
        <v>52</v>
      </c>
      <c r="C108" s="58"/>
      <c r="D108" s="58"/>
      <c r="E108" s="58"/>
      <c r="F108" s="58"/>
      <c r="G108" s="58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32"/>
      <c r="U108" s="82"/>
      <c r="V108" s="82"/>
      <c r="W108" s="82"/>
      <c r="X108" s="32"/>
      <c r="Y108" s="58"/>
      <c r="Z108" s="58"/>
      <c r="AA108" s="58"/>
      <c r="AC108" s="58"/>
      <c r="AD108" s="58"/>
      <c r="AE108" s="58"/>
      <c r="AF108" s="58"/>
      <c r="AG108" s="58"/>
      <c r="AH108" s="58"/>
      <c r="AI108" s="58"/>
      <c r="AJ108" s="58"/>
      <c r="AK108" s="59"/>
      <c r="AL108" s="75"/>
    </row>
    <row r="109" spans="2:38" ht="12.75" customHeight="1">
      <c r="B109" s="60" t="s">
        <v>144</v>
      </c>
      <c r="C109" s="82"/>
      <c r="D109" s="82"/>
      <c r="E109" s="82"/>
      <c r="F109" s="82"/>
      <c r="G109" s="82"/>
      <c r="H109" s="3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32">
        <f>SUM(F109-SUM(Q109:S109))</f>
        <v>0</v>
      </c>
      <c r="U109" s="82"/>
      <c r="V109" s="82"/>
      <c r="W109" s="82"/>
      <c r="X109" s="32">
        <f>SUM(G109-SUM(U109:W109))</f>
        <v>0</v>
      </c>
      <c r="Y109" s="82"/>
      <c r="Z109" s="82"/>
      <c r="AA109" s="82"/>
      <c r="AB109" s="32"/>
      <c r="AC109" s="32">
        <f>SUM(Q109:T109)</f>
        <v>0</v>
      </c>
      <c r="AD109" s="32">
        <f>SUM(R109:U109)</f>
        <v>0</v>
      </c>
      <c r="AE109" s="32">
        <f>SUM(S109:V109)</f>
        <v>0</v>
      </c>
      <c r="AF109" s="32">
        <f>SUM(T109:W109)</f>
        <v>0</v>
      </c>
      <c r="AG109" s="32">
        <f>SUM(U109:X109)</f>
        <v>0</v>
      </c>
      <c r="AH109" s="32">
        <f>SUM(V109:Y109)</f>
        <v>0</v>
      </c>
      <c r="AI109" s="32">
        <f>SUM(W109:Z109)</f>
        <v>0</v>
      </c>
      <c r="AJ109" s="32">
        <f>SUM(X109:AA109)</f>
        <v>0</v>
      </c>
      <c r="AK109" s="59"/>
      <c r="AL109" s="75" t="e">
        <f t="shared" ref="AL109:AL112" si="350">SUM(AJ109/AF109)-1</f>
        <v>#DIV/0!</v>
      </c>
    </row>
    <row r="110" spans="2:38" ht="12.75" customHeight="1">
      <c r="B110" s="60" t="s">
        <v>145</v>
      </c>
      <c r="C110" s="82"/>
      <c r="D110" s="82"/>
      <c r="E110" s="82"/>
      <c r="F110" s="82"/>
      <c r="G110" s="82"/>
      <c r="H110" s="3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32">
        <f>SUM(F110-SUM(Q110:S110))</f>
        <v>0</v>
      </c>
      <c r="U110" s="82"/>
      <c r="V110" s="82"/>
      <c r="W110" s="82"/>
      <c r="X110" s="32">
        <f>SUM(G110-SUM(U110:W110))</f>
        <v>0</v>
      </c>
      <c r="Y110" s="82"/>
      <c r="Z110" s="82"/>
      <c r="AA110" s="82"/>
      <c r="AB110" s="32"/>
      <c r="AC110" s="32">
        <f>SUM(Q110:T110)</f>
        <v>0</v>
      </c>
      <c r="AD110" s="32">
        <f>SUM(R110:U110)</f>
        <v>0</v>
      </c>
      <c r="AE110" s="32">
        <f>SUM(S110:V110)</f>
        <v>0</v>
      </c>
      <c r="AF110" s="32">
        <f>SUM(T110:W110)</f>
        <v>0</v>
      </c>
      <c r="AG110" s="32">
        <f>SUM(U110:X110)</f>
        <v>0</v>
      </c>
      <c r="AH110" s="32">
        <f>SUM(V110:Y110)</f>
        <v>0</v>
      </c>
      <c r="AI110" s="32">
        <f>SUM(W110:Z110)</f>
        <v>0</v>
      </c>
      <c r="AJ110" s="32">
        <f>SUM(X110:AA110)</f>
        <v>0</v>
      </c>
      <c r="AK110" s="59"/>
      <c r="AL110" s="75" t="e">
        <f t="shared" si="350"/>
        <v>#DIV/0!</v>
      </c>
    </row>
    <row r="111" spans="2:38" ht="12.75" customHeight="1">
      <c r="B111" s="60" t="s">
        <v>146</v>
      </c>
      <c r="C111" s="82"/>
      <c r="D111" s="82"/>
      <c r="E111" s="82"/>
      <c r="F111" s="82"/>
      <c r="G111" s="82"/>
      <c r="H111" s="32"/>
      <c r="I111" s="82"/>
      <c r="J111" s="82"/>
      <c r="K111" s="82"/>
      <c r="L111" s="82"/>
      <c r="M111" s="82"/>
      <c r="N111" s="82"/>
      <c r="O111" s="82"/>
      <c r="P111" s="82"/>
      <c r="Q111" s="82"/>
      <c r="R111" s="82"/>
      <c r="S111" s="82"/>
      <c r="T111" s="32">
        <f>SUM(F111-SUM(Q111:S111))</f>
        <v>0</v>
      </c>
      <c r="U111" s="82"/>
      <c r="V111" s="82"/>
      <c r="W111" s="82"/>
      <c r="X111" s="32">
        <f>SUM(G111-SUM(U111:W111))</f>
        <v>0</v>
      </c>
      <c r="Y111" s="82"/>
      <c r="Z111" s="82"/>
      <c r="AA111" s="82"/>
      <c r="AB111" s="32"/>
      <c r="AC111" s="32">
        <f>SUM(Q111:T111)</f>
        <v>0</v>
      </c>
      <c r="AD111" s="32">
        <f>SUM(R111:U111)</f>
        <v>0</v>
      </c>
      <c r="AE111" s="32">
        <f>SUM(S111:V111)</f>
        <v>0</v>
      </c>
      <c r="AF111" s="32">
        <f>SUM(T111:W111)</f>
        <v>0</v>
      </c>
      <c r="AG111" s="32">
        <f>SUM(U111:X111)</f>
        <v>0</v>
      </c>
      <c r="AH111" s="32">
        <f>SUM(V111:Y111)</f>
        <v>0</v>
      </c>
      <c r="AI111" s="32">
        <f>SUM(W111:Z111)</f>
        <v>0</v>
      </c>
      <c r="AJ111" s="32">
        <f>SUM(X111:AA111)</f>
        <v>0</v>
      </c>
      <c r="AK111" s="59"/>
      <c r="AL111" s="75" t="e">
        <f t="shared" si="350"/>
        <v>#DIV/0!</v>
      </c>
    </row>
    <row r="112" spans="2:38" ht="12.75" customHeight="1">
      <c r="B112" s="60" t="s">
        <v>147</v>
      </c>
      <c r="C112" s="82"/>
      <c r="D112" s="82"/>
      <c r="E112" s="82"/>
      <c r="F112" s="82"/>
      <c r="G112" s="82"/>
      <c r="H112" s="3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32">
        <f>SUM(F112-SUM(Q112:S112))</f>
        <v>0</v>
      </c>
      <c r="U112" s="82"/>
      <c r="V112" s="82"/>
      <c r="W112" s="82"/>
      <c r="X112" s="32">
        <f>SUM(G112-SUM(U112:W112))</f>
        <v>0</v>
      </c>
      <c r="Y112" s="82"/>
      <c r="Z112" s="82"/>
      <c r="AA112" s="82"/>
      <c r="AB112" s="32"/>
      <c r="AC112" s="32">
        <f>SUM(Q112:T112)</f>
        <v>0</v>
      </c>
      <c r="AD112" s="32">
        <f>SUM(R112:U112)</f>
        <v>0</v>
      </c>
      <c r="AE112" s="32">
        <f>SUM(S112:V112)</f>
        <v>0</v>
      </c>
      <c r="AF112" s="32">
        <f>SUM(T112:W112)</f>
        <v>0</v>
      </c>
      <c r="AG112" s="32">
        <f>SUM(U112:X112)</f>
        <v>0</v>
      </c>
      <c r="AH112" s="32">
        <f>SUM(V112:Y112)</f>
        <v>0</v>
      </c>
      <c r="AI112" s="32">
        <f>SUM(W112:Z112)</f>
        <v>0</v>
      </c>
      <c r="AJ112" s="32">
        <f>SUM(X112:AA112)</f>
        <v>0</v>
      </c>
      <c r="AK112" s="59"/>
      <c r="AL112" s="75" t="e">
        <f t="shared" si="350"/>
        <v>#DIV/0!</v>
      </c>
    </row>
    <row r="113" spans="2:38" ht="12.75" customHeight="1">
      <c r="B113" s="13" t="s">
        <v>53</v>
      </c>
      <c r="C113" s="14">
        <f t="shared" ref="C113:D113" si="351">SUM(C109:C112)</f>
        <v>0</v>
      </c>
      <c r="D113" s="14">
        <f t="shared" si="351"/>
        <v>0</v>
      </c>
      <c r="E113" s="14">
        <f t="shared" ref="E113:G113" si="352">SUM(E109:E112)</f>
        <v>0</v>
      </c>
      <c r="F113" s="14">
        <f t="shared" si="352"/>
        <v>0</v>
      </c>
      <c r="G113" s="14">
        <f t="shared" si="352"/>
        <v>0</v>
      </c>
      <c r="I113" s="14">
        <f t="shared" ref="I113:O113" si="353">SUM(I109:I112)</f>
        <v>0</v>
      </c>
      <c r="J113" s="14">
        <f t="shared" ref="J113:M113" si="354">SUM(J109:J112)</f>
        <v>0</v>
      </c>
      <c r="K113" s="14">
        <f t="shared" si="354"/>
        <v>0</v>
      </c>
      <c r="L113" s="14">
        <f t="shared" si="354"/>
        <v>0</v>
      </c>
      <c r="M113" s="14">
        <f t="shared" si="353"/>
        <v>0</v>
      </c>
      <c r="N113" s="14">
        <f t="shared" si="353"/>
        <v>0</v>
      </c>
      <c r="O113" s="14">
        <f t="shared" si="353"/>
        <v>0</v>
      </c>
      <c r="P113" s="14">
        <f t="shared" ref="P113" si="355">SUM(P109:P112)</f>
        <v>0</v>
      </c>
      <c r="Q113" s="14">
        <f t="shared" ref="Q113:AA113" si="356">SUM(Q109:Q112)</f>
        <v>0</v>
      </c>
      <c r="R113" s="14">
        <f t="shared" si="356"/>
        <v>0</v>
      </c>
      <c r="S113" s="14">
        <f t="shared" si="356"/>
        <v>0</v>
      </c>
      <c r="T113" s="14">
        <f t="shared" si="356"/>
        <v>0</v>
      </c>
      <c r="U113" s="14">
        <f t="shared" si="356"/>
        <v>0</v>
      </c>
      <c r="V113" s="14">
        <f t="shared" si="356"/>
        <v>0</v>
      </c>
      <c r="W113" s="14">
        <f t="shared" si="356"/>
        <v>0</v>
      </c>
      <c r="X113" s="14">
        <f t="shared" si="356"/>
        <v>0</v>
      </c>
      <c r="Y113" s="14">
        <f t="shared" si="356"/>
        <v>0</v>
      </c>
      <c r="Z113" s="14">
        <f t="shared" si="356"/>
        <v>0</v>
      </c>
      <c r="AA113" s="14">
        <f t="shared" si="356"/>
        <v>0</v>
      </c>
      <c r="AC113" s="14">
        <f t="shared" ref="AC113:AJ113" si="357">SUM(AC112:AC112)</f>
        <v>0</v>
      </c>
      <c r="AD113" s="14">
        <f t="shared" si="357"/>
        <v>0</v>
      </c>
      <c r="AE113" s="14">
        <f t="shared" si="357"/>
        <v>0</v>
      </c>
      <c r="AF113" s="14">
        <f t="shared" si="357"/>
        <v>0</v>
      </c>
      <c r="AG113" s="14">
        <f t="shared" si="357"/>
        <v>0</v>
      </c>
      <c r="AH113" s="14">
        <f t="shared" si="357"/>
        <v>0</v>
      </c>
      <c r="AI113" s="14">
        <f t="shared" si="357"/>
        <v>0</v>
      </c>
      <c r="AJ113" s="14">
        <f t="shared" si="357"/>
        <v>0</v>
      </c>
      <c r="AK113" s="42"/>
      <c r="AL113" s="76" t="e">
        <f t="shared" ref="AL113:AL119" si="358">SUM(AJ113/AF113)-1</f>
        <v>#DIV/0!</v>
      </c>
    </row>
    <row r="114" spans="2:38" ht="5.0999999999999996" customHeight="1">
      <c r="B114" s="52"/>
      <c r="C114" s="61"/>
      <c r="D114" s="61"/>
      <c r="E114" s="61"/>
      <c r="F114" s="61"/>
      <c r="G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C114" s="42"/>
      <c r="AD114" s="42"/>
      <c r="AE114" s="42"/>
      <c r="AF114" s="42"/>
      <c r="AG114" s="42"/>
      <c r="AH114" s="42"/>
      <c r="AI114" s="42"/>
      <c r="AJ114" s="42"/>
      <c r="AK114" s="42"/>
      <c r="AL114" s="39"/>
    </row>
    <row r="115" spans="2:38" ht="12.75" customHeight="1">
      <c r="B115" s="53" t="s">
        <v>54</v>
      </c>
      <c r="C115" s="63"/>
      <c r="D115" s="63"/>
      <c r="E115" s="63"/>
      <c r="F115" s="63"/>
      <c r="G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32"/>
      <c r="AC115" s="32"/>
      <c r="AD115" s="32"/>
      <c r="AE115" s="32"/>
      <c r="AF115" s="32"/>
      <c r="AG115" s="32"/>
      <c r="AH115" s="32"/>
      <c r="AI115" s="32"/>
      <c r="AJ115" s="32"/>
      <c r="AK115" s="64"/>
      <c r="AL115" s="75"/>
    </row>
    <row r="116" spans="2:38" ht="12.75" customHeight="1">
      <c r="B116" s="84" t="s">
        <v>148</v>
      </c>
      <c r="C116" s="82"/>
      <c r="D116" s="82"/>
      <c r="E116" s="82"/>
      <c r="F116" s="82"/>
      <c r="G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32">
        <f>SUM(F116-SUM(Q116:S116))</f>
        <v>0</v>
      </c>
      <c r="U116" s="82"/>
      <c r="V116" s="82"/>
      <c r="W116" s="82"/>
      <c r="X116" s="32">
        <f>SUM(G116-SUM(U116:W116))</f>
        <v>0</v>
      </c>
      <c r="Y116" s="82"/>
      <c r="Z116" s="82"/>
      <c r="AA116" s="82"/>
      <c r="AB116" s="32"/>
      <c r="AC116" s="32">
        <f>SUM(Q116:T116)</f>
        <v>0</v>
      </c>
      <c r="AD116" s="32">
        <f>SUM(R116:U116)</f>
        <v>0</v>
      </c>
      <c r="AE116" s="32">
        <f>SUM(S116:V116)</f>
        <v>0</v>
      </c>
      <c r="AF116" s="32">
        <f>SUM(T116:W116)</f>
        <v>0</v>
      </c>
      <c r="AG116" s="32">
        <f>SUM(U116:X116)</f>
        <v>0</v>
      </c>
      <c r="AH116" s="32">
        <f>SUM(V116:Y116)</f>
        <v>0</v>
      </c>
      <c r="AI116" s="32">
        <f>SUM(W116:Z116)</f>
        <v>0</v>
      </c>
      <c r="AJ116" s="32">
        <f>SUM(X116:AA116)</f>
        <v>0</v>
      </c>
      <c r="AK116" s="64"/>
      <c r="AL116" s="75" t="e">
        <f t="shared" si="358"/>
        <v>#DIV/0!</v>
      </c>
    </row>
    <row r="117" spans="2:38" ht="12.75" customHeight="1">
      <c r="B117" s="84" t="s">
        <v>149</v>
      </c>
      <c r="C117" s="82"/>
      <c r="D117" s="82"/>
      <c r="E117" s="82"/>
      <c r="F117" s="82"/>
      <c r="G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32">
        <f>SUM(F117-SUM(Q117:S117))</f>
        <v>0</v>
      </c>
      <c r="U117" s="82"/>
      <c r="V117" s="82"/>
      <c r="W117" s="82"/>
      <c r="X117" s="32">
        <f>SUM(G117-SUM(U117:W117))</f>
        <v>0</v>
      </c>
      <c r="Y117" s="82"/>
      <c r="Z117" s="82"/>
      <c r="AA117" s="82"/>
      <c r="AB117" s="32"/>
      <c r="AC117" s="32">
        <f>SUM(Q117:T117)</f>
        <v>0</v>
      </c>
      <c r="AD117" s="32">
        <f>SUM(R117:U117)</f>
        <v>0</v>
      </c>
      <c r="AE117" s="32">
        <f>SUM(S117:V117)</f>
        <v>0</v>
      </c>
      <c r="AF117" s="32">
        <f>SUM(T117:W117)</f>
        <v>0</v>
      </c>
      <c r="AG117" s="32">
        <f>SUM(U117:X117)</f>
        <v>0</v>
      </c>
      <c r="AH117" s="32">
        <f>SUM(V117:Y117)</f>
        <v>0</v>
      </c>
      <c r="AI117" s="32">
        <f>SUM(W117:Z117)</f>
        <v>0</v>
      </c>
      <c r="AJ117" s="32">
        <f>SUM(X117:AA117)</f>
        <v>0</v>
      </c>
      <c r="AK117" s="64"/>
      <c r="AL117" s="75" t="e">
        <f t="shared" ref="AL117" si="359">SUM(AJ117/AF117)-1</f>
        <v>#DIV/0!</v>
      </c>
    </row>
    <row r="118" spans="2:38" ht="12.75" customHeight="1">
      <c r="B118" s="84" t="s">
        <v>150</v>
      </c>
      <c r="C118" s="82"/>
      <c r="D118" s="82"/>
      <c r="E118" s="82"/>
      <c r="F118" s="82"/>
      <c r="G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32">
        <f>SUM(F118-SUM(Q118:S118))</f>
        <v>0</v>
      </c>
      <c r="U118" s="82"/>
      <c r="V118" s="82"/>
      <c r="W118" s="82"/>
      <c r="X118" s="32">
        <f>SUM(G118-SUM(U118:W118))</f>
        <v>0</v>
      </c>
      <c r="Y118" s="82"/>
      <c r="Z118" s="82"/>
      <c r="AA118" s="82"/>
      <c r="AB118" s="32"/>
      <c r="AC118" s="32">
        <f>SUM(Q118:T118)</f>
        <v>0</v>
      </c>
      <c r="AD118" s="32">
        <f>SUM(R118:U118)</f>
        <v>0</v>
      </c>
      <c r="AE118" s="32">
        <f>SUM(S118:V118)</f>
        <v>0</v>
      </c>
      <c r="AF118" s="32">
        <f>SUM(T118:W118)</f>
        <v>0</v>
      </c>
      <c r="AG118" s="32">
        <f>SUM(U118:X118)</f>
        <v>0</v>
      </c>
      <c r="AH118" s="32">
        <f>SUM(V118:Y118)</f>
        <v>0</v>
      </c>
      <c r="AI118" s="32">
        <f>SUM(W118:Z118)</f>
        <v>0</v>
      </c>
      <c r="AJ118" s="32">
        <f>SUM(X118:AA118)</f>
        <v>0</v>
      </c>
      <c r="AK118" s="64"/>
      <c r="AL118" s="75" t="e">
        <f t="shared" si="358"/>
        <v>#DIV/0!</v>
      </c>
    </row>
    <row r="119" spans="2:38" ht="12.75" customHeight="1">
      <c r="B119" s="13" t="s">
        <v>55</v>
      </c>
      <c r="C119" s="14">
        <f t="shared" ref="C119:D119" si="360">SUM(C116:C118)</f>
        <v>0</v>
      </c>
      <c r="D119" s="14">
        <f t="shared" si="360"/>
        <v>0</v>
      </c>
      <c r="E119" s="14">
        <f t="shared" ref="E119:G119" si="361">SUM(E116:E118)</f>
        <v>0</v>
      </c>
      <c r="F119" s="14">
        <f t="shared" si="361"/>
        <v>0</v>
      </c>
      <c r="G119" s="14">
        <f t="shared" si="361"/>
        <v>0</v>
      </c>
      <c r="I119" s="14">
        <f t="shared" ref="I119:O119" si="362">SUM(I116:I118)</f>
        <v>0</v>
      </c>
      <c r="J119" s="14">
        <f t="shared" ref="J119:M119" si="363">SUM(J116:J118)</f>
        <v>0</v>
      </c>
      <c r="K119" s="14">
        <f t="shared" si="363"/>
        <v>0</v>
      </c>
      <c r="L119" s="14">
        <f t="shared" si="363"/>
        <v>0</v>
      </c>
      <c r="M119" s="14">
        <f t="shared" si="362"/>
        <v>0</v>
      </c>
      <c r="N119" s="14">
        <f t="shared" si="362"/>
        <v>0</v>
      </c>
      <c r="O119" s="14">
        <f t="shared" si="362"/>
        <v>0</v>
      </c>
      <c r="P119" s="14">
        <f t="shared" ref="P119" si="364">SUM(P116:P118)</f>
        <v>0</v>
      </c>
      <c r="Q119" s="14">
        <f t="shared" ref="Q119:AA119" si="365">SUM(Q116:Q118)</f>
        <v>0</v>
      </c>
      <c r="R119" s="14">
        <f t="shared" si="365"/>
        <v>0</v>
      </c>
      <c r="S119" s="14">
        <f t="shared" si="365"/>
        <v>0</v>
      </c>
      <c r="T119" s="14">
        <f t="shared" si="365"/>
        <v>0</v>
      </c>
      <c r="U119" s="14">
        <f t="shared" si="365"/>
        <v>0</v>
      </c>
      <c r="V119" s="14">
        <f t="shared" si="365"/>
        <v>0</v>
      </c>
      <c r="W119" s="14">
        <f t="shared" si="365"/>
        <v>0</v>
      </c>
      <c r="X119" s="14">
        <f t="shared" si="365"/>
        <v>0</v>
      </c>
      <c r="Y119" s="14">
        <f t="shared" si="365"/>
        <v>0</v>
      </c>
      <c r="Z119" s="14">
        <f t="shared" si="365"/>
        <v>0</v>
      </c>
      <c r="AA119" s="14">
        <f t="shared" si="365"/>
        <v>0</v>
      </c>
      <c r="AC119" s="14">
        <f t="shared" ref="AC119:AJ119" si="366">SUM(AC116:AC118)</f>
        <v>0</v>
      </c>
      <c r="AD119" s="14">
        <f t="shared" si="366"/>
        <v>0</v>
      </c>
      <c r="AE119" s="14">
        <f t="shared" si="366"/>
        <v>0</v>
      </c>
      <c r="AF119" s="14">
        <f t="shared" si="366"/>
        <v>0</v>
      </c>
      <c r="AG119" s="14">
        <f t="shared" si="366"/>
        <v>0</v>
      </c>
      <c r="AH119" s="14">
        <f t="shared" si="366"/>
        <v>0</v>
      </c>
      <c r="AI119" s="14">
        <f t="shared" si="366"/>
        <v>0</v>
      </c>
      <c r="AJ119" s="14">
        <f t="shared" si="366"/>
        <v>0</v>
      </c>
      <c r="AK119" s="42"/>
      <c r="AL119" s="76" t="e">
        <f t="shared" si="358"/>
        <v>#DIV/0!</v>
      </c>
    </row>
    <row r="120" spans="2:38" ht="5.0999999999999996" customHeight="1">
      <c r="B120" s="71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11"/>
      <c r="AL120" s="45"/>
    </row>
    <row r="121" spans="2:38">
      <c r="B121" s="92" t="s">
        <v>81</v>
      </c>
      <c r="C121" s="93"/>
      <c r="D121" s="93"/>
      <c r="E121" s="93"/>
      <c r="F121" s="93">
        <f t="shared" ref="F121:G121" si="367">E128</f>
        <v>696</v>
      </c>
      <c r="G121" s="93">
        <f t="shared" si="367"/>
        <v>2288</v>
      </c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>
        <f t="shared" ref="R121:AA121" si="368">Q128</f>
        <v>314</v>
      </c>
      <c r="S121" s="93">
        <f t="shared" si="368"/>
        <v>584</v>
      </c>
      <c r="T121" s="93">
        <f t="shared" si="368"/>
        <v>1088</v>
      </c>
      <c r="U121" s="93">
        <f t="shared" si="368"/>
        <v>1592</v>
      </c>
      <c r="V121" s="93">
        <f t="shared" si="368"/>
        <v>2085</v>
      </c>
      <c r="W121" s="93">
        <f t="shared" si="368"/>
        <v>2407</v>
      </c>
      <c r="X121" s="93">
        <f t="shared" si="368"/>
        <v>2875</v>
      </c>
      <c r="Y121" s="93">
        <f t="shared" si="368"/>
        <v>3440</v>
      </c>
      <c r="Z121" s="93">
        <f t="shared" si="368"/>
        <v>4112</v>
      </c>
      <c r="AA121" s="93">
        <f t="shared" si="368"/>
        <v>4908</v>
      </c>
      <c r="AB121" s="93"/>
      <c r="AC121" s="93"/>
      <c r="AD121" s="93">
        <f t="shared" ref="AD121:AJ121" si="369">Q128</f>
        <v>314</v>
      </c>
      <c r="AE121" s="93">
        <f t="shared" si="369"/>
        <v>584</v>
      </c>
      <c r="AF121" s="93">
        <f t="shared" si="369"/>
        <v>1088</v>
      </c>
      <c r="AG121" s="93">
        <f t="shared" si="369"/>
        <v>1592</v>
      </c>
      <c r="AH121" s="93">
        <f t="shared" si="369"/>
        <v>2085</v>
      </c>
      <c r="AI121" s="93">
        <f t="shared" si="369"/>
        <v>2407</v>
      </c>
      <c r="AJ121" s="140">
        <f t="shared" si="369"/>
        <v>2875</v>
      </c>
      <c r="AK121" s="11"/>
      <c r="AL121" s="45"/>
    </row>
    <row r="122" spans="2:38">
      <c r="B122" s="130" t="s">
        <v>94</v>
      </c>
      <c r="C122" s="32"/>
      <c r="D122" s="32"/>
      <c r="E122" s="32"/>
      <c r="F122" s="32">
        <f t="shared" ref="F122:G122" si="370">-E126</f>
        <v>0</v>
      </c>
      <c r="G122" s="32">
        <f t="shared" si="370"/>
        <v>0</v>
      </c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>
        <f t="shared" ref="R122:AA122" si="371">-Q126</f>
        <v>0</v>
      </c>
      <c r="S122" s="32">
        <f t="shared" si="371"/>
        <v>0</v>
      </c>
      <c r="T122" s="32">
        <f t="shared" si="371"/>
        <v>0</v>
      </c>
      <c r="U122" s="32">
        <f t="shared" si="371"/>
        <v>0</v>
      </c>
      <c r="V122" s="32">
        <f t="shared" si="371"/>
        <v>0</v>
      </c>
      <c r="W122" s="32">
        <f t="shared" si="371"/>
        <v>0</v>
      </c>
      <c r="X122" s="32">
        <f t="shared" si="371"/>
        <v>0</v>
      </c>
      <c r="Y122" s="32">
        <f t="shared" si="371"/>
        <v>0</v>
      </c>
      <c r="Z122" s="32">
        <f t="shared" si="371"/>
        <v>0</v>
      </c>
      <c r="AA122" s="32">
        <f t="shared" si="371"/>
        <v>0</v>
      </c>
      <c r="AB122" s="32"/>
      <c r="AC122" s="32">
        <f>F122</f>
        <v>0</v>
      </c>
      <c r="AD122" s="32">
        <f>-Q126</f>
        <v>0</v>
      </c>
      <c r="AE122" s="32">
        <f>-R126</f>
        <v>0</v>
      </c>
      <c r="AF122" s="32">
        <f>-S126</f>
        <v>0</v>
      </c>
      <c r="AG122" s="32">
        <f>-T126</f>
        <v>0</v>
      </c>
      <c r="AH122" s="32">
        <f>-U126</f>
        <v>0</v>
      </c>
      <c r="AI122" s="32">
        <f>-V126</f>
        <v>0</v>
      </c>
      <c r="AJ122" s="134">
        <f>-W126</f>
        <v>0</v>
      </c>
      <c r="AK122" s="11"/>
      <c r="AL122" s="45"/>
    </row>
    <row r="123" spans="2:38">
      <c r="B123" s="145" t="s">
        <v>68</v>
      </c>
      <c r="C123" s="146">
        <f t="shared" ref="C123:D123" si="372">SUM(C121:C122)</f>
        <v>0</v>
      </c>
      <c r="D123" s="146">
        <f t="shared" si="372"/>
        <v>0</v>
      </c>
      <c r="E123" s="146">
        <f t="shared" ref="E123:G123" si="373">SUM(E121:E122)</f>
        <v>0</v>
      </c>
      <c r="F123" s="146">
        <f t="shared" si="373"/>
        <v>696</v>
      </c>
      <c r="G123" s="146">
        <f t="shared" si="373"/>
        <v>2288</v>
      </c>
      <c r="H123" s="32"/>
      <c r="I123" s="146">
        <f t="shared" ref="I123:O123" si="374">SUM(I121:I122)</f>
        <v>0</v>
      </c>
      <c r="J123" s="146">
        <f t="shared" ref="J123:M123" si="375">SUM(J121:J122)</f>
        <v>0</v>
      </c>
      <c r="K123" s="146">
        <f t="shared" si="375"/>
        <v>0</v>
      </c>
      <c r="L123" s="146">
        <f t="shared" si="375"/>
        <v>0</v>
      </c>
      <c r="M123" s="146">
        <f t="shared" si="374"/>
        <v>0</v>
      </c>
      <c r="N123" s="146">
        <f t="shared" si="374"/>
        <v>0</v>
      </c>
      <c r="O123" s="146">
        <f t="shared" si="374"/>
        <v>0</v>
      </c>
      <c r="P123" s="146">
        <f t="shared" ref="P123" si="376">SUM(P121:P122)</f>
        <v>0</v>
      </c>
      <c r="Q123" s="146">
        <f t="shared" ref="Q123:AA123" si="377">SUM(Q121:Q122)</f>
        <v>0</v>
      </c>
      <c r="R123" s="146">
        <f t="shared" si="377"/>
        <v>314</v>
      </c>
      <c r="S123" s="146">
        <f t="shared" si="377"/>
        <v>584</v>
      </c>
      <c r="T123" s="146">
        <f t="shared" si="377"/>
        <v>1088</v>
      </c>
      <c r="U123" s="146">
        <f t="shared" si="377"/>
        <v>1592</v>
      </c>
      <c r="V123" s="146">
        <f t="shared" si="377"/>
        <v>2085</v>
      </c>
      <c r="W123" s="146">
        <f t="shared" si="377"/>
        <v>2407</v>
      </c>
      <c r="X123" s="146">
        <f t="shared" si="377"/>
        <v>2875</v>
      </c>
      <c r="Y123" s="146">
        <f t="shared" si="377"/>
        <v>3440</v>
      </c>
      <c r="Z123" s="146">
        <f t="shared" si="377"/>
        <v>4112</v>
      </c>
      <c r="AA123" s="146">
        <f t="shared" si="377"/>
        <v>4908</v>
      </c>
      <c r="AB123" s="32"/>
      <c r="AC123" s="133">
        <f t="shared" ref="AC123:AJ123" si="378">SUM(AC121:AC122)</f>
        <v>0</v>
      </c>
      <c r="AD123" s="133">
        <f t="shared" si="378"/>
        <v>314</v>
      </c>
      <c r="AE123" s="133">
        <f t="shared" si="378"/>
        <v>584</v>
      </c>
      <c r="AF123" s="146">
        <f t="shared" si="378"/>
        <v>1088</v>
      </c>
      <c r="AG123" s="146">
        <f t="shared" si="378"/>
        <v>1592</v>
      </c>
      <c r="AH123" s="146">
        <f t="shared" si="378"/>
        <v>2085</v>
      </c>
      <c r="AI123" s="146">
        <f t="shared" si="378"/>
        <v>2407</v>
      </c>
      <c r="AJ123" s="147">
        <f t="shared" si="378"/>
        <v>2875</v>
      </c>
      <c r="AK123" s="11"/>
      <c r="AL123" s="45"/>
    </row>
    <row r="124" spans="2:38" ht="5.0999999999999996" customHeight="1">
      <c r="B124" s="137"/>
      <c r="C124" s="71"/>
      <c r="D124" s="71"/>
      <c r="E124" s="71"/>
      <c r="F124" s="71"/>
      <c r="G124" s="71"/>
      <c r="H124" s="32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32"/>
      <c r="AC124" s="71"/>
      <c r="AD124" s="71"/>
      <c r="AE124" s="71"/>
      <c r="AF124" s="71"/>
      <c r="AG124" s="71"/>
      <c r="AH124" s="71"/>
      <c r="AI124" s="71"/>
      <c r="AJ124" s="135"/>
      <c r="AK124" s="11"/>
      <c r="AL124" s="45"/>
    </row>
    <row r="125" spans="2:38">
      <c r="B125" s="130" t="s">
        <v>82</v>
      </c>
      <c r="C125" s="82"/>
      <c r="D125" s="82"/>
      <c r="E125" s="82"/>
      <c r="F125" s="82"/>
      <c r="G125" s="82"/>
      <c r="H125" s="3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32">
        <f>SUM(F125-SUM(Q125:S125))</f>
        <v>0</v>
      </c>
      <c r="U125" s="82"/>
      <c r="V125" s="82"/>
      <c r="W125" s="82"/>
      <c r="X125" s="32">
        <f>SUM(G125-SUM(U125:W125))</f>
        <v>0</v>
      </c>
      <c r="Y125" s="82"/>
      <c r="Z125" s="82"/>
      <c r="AA125" s="82"/>
      <c r="AB125" s="32"/>
      <c r="AC125" s="32">
        <f>SUM(Q125:T125)</f>
        <v>0</v>
      </c>
      <c r="AD125" s="32">
        <f>SUM(R125:U125)</f>
        <v>0</v>
      </c>
      <c r="AE125" s="32">
        <f>SUM(S125:V125)</f>
        <v>0</v>
      </c>
      <c r="AF125" s="32">
        <f>SUM(T125:W125)</f>
        <v>0</v>
      </c>
      <c r="AG125" s="32">
        <f>SUM(U125:X125)</f>
        <v>0</v>
      </c>
      <c r="AH125" s="32">
        <f>SUM(V125:Y125)</f>
        <v>0</v>
      </c>
      <c r="AI125" s="32">
        <f>SUM(W125:Z125)</f>
        <v>0</v>
      </c>
      <c r="AJ125" s="134">
        <f>SUM(X125:AA125)</f>
        <v>0</v>
      </c>
      <c r="AK125" s="11"/>
      <c r="AL125" s="45"/>
    </row>
    <row r="126" spans="2:38">
      <c r="B126" s="130" t="s">
        <v>92</v>
      </c>
      <c r="C126" s="82"/>
      <c r="D126" s="82"/>
      <c r="E126" s="82"/>
      <c r="F126" s="82"/>
      <c r="G126" s="82"/>
      <c r="H126" s="3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32">
        <f>F126</f>
        <v>0</v>
      </c>
      <c r="U126" s="82"/>
      <c r="V126" s="82"/>
      <c r="W126" s="82"/>
      <c r="X126" s="32">
        <f>G126</f>
        <v>0</v>
      </c>
      <c r="Y126" s="82"/>
      <c r="Z126" s="82"/>
      <c r="AA126" s="82"/>
      <c r="AB126" s="32"/>
      <c r="AC126" s="32">
        <f t="shared" ref="AC126:AJ126" si="379">T126</f>
        <v>0</v>
      </c>
      <c r="AD126" s="32">
        <f t="shared" si="379"/>
        <v>0</v>
      </c>
      <c r="AE126" s="32">
        <f t="shared" si="379"/>
        <v>0</v>
      </c>
      <c r="AF126" s="32">
        <f t="shared" si="379"/>
        <v>0</v>
      </c>
      <c r="AG126" s="32">
        <f t="shared" si="379"/>
        <v>0</v>
      </c>
      <c r="AH126" s="32">
        <f t="shared" si="379"/>
        <v>0</v>
      </c>
      <c r="AI126" s="32">
        <f t="shared" si="379"/>
        <v>0</v>
      </c>
      <c r="AJ126" s="134">
        <f t="shared" si="379"/>
        <v>0</v>
      </c>
      <c r="AK126" s="11"/>
      <c r="AL126" s="45"/>
    </row>
    <row r="127" spans="2:38">
      <c r="B127" s="130" t="s">
        <v>59</v>
      </c>
      <c r="C127" s="32">
        <f t="shared" ref="C127:D127" si="380">+C119+C113+C106</f>
        <v>-81</v>
      </c>
      <c r="D127" s="32">
        <f t="shared" si="380"/>
        <v>1039</v>
      </c>
      <c r="E127" s="32">
        <f t="shared" ref="E127:G127" si="381">+E119+E113+E106</f>
        <v>696</v>
      </c>
      <c r="F127" s="32">
        <f t="shared" si="381"/>
        <v>1592</v>
      </c>
      <c r="G127" s="32">
        <f t="shared" si="381"/>
        <v>1848</v>
      </c>
      <c r="H127" s="32"/>
      <c r="I127" s="32">
        <f t="shared" ref="I127:O127" si="382">+I119+I113+I106</f>
        <v>341</v>
      </c>
      <c r="J127" s="32">
        <f t="shared" ref="J127:M127" si="383">+J119+J113+J106</f>
        <v>186</v>
      </c>
      <c r="K127" s="32">
        <f t="shared" si="383"/>
        <v>419</v>
      </c>
      <c r="L127" s="32">
        <f t="shared" si="383"/>
        <v>93</v>
      </c>
      <c r="M127" s="32">
        <f t="shared" si="382"/>
        <v>111</v>
      </c>
      <c r="N127" s="32">
        <f t="shared" si="382"/>
        <v>260</v>
      </c>
      <c r="O127" s="32">
        <f t="shared" si="382"/>
        <v>188</v>
      </c>
      <c r="P127" s="32">
        <f t="shared" ref="P127" si="384">+P119+P113+P106</f>
        <v>137</v>
      </c>
      <c r="Q127" s="32">
        <f t="shared" ref="Q127:AA127" si="385">+Q119+Q113+Q106</f>
        <v>314</v>
      </c>
      <c r="R127" s="32">
        <f t="shared" si="385"/>
        <v>270</v>
      </c>
      <c r="S127" s="32">
        <f t="shared" si="385"/>
        <v>504</v>
      </c>
      <c r="T127" s="32">
        <f t="shared" si="385"/>
        <v>504</v>
      </c>
      <c r="U127" s="32">
        <f t="shared" si="385"/>
        <v>493</v>
      </c>
      <c r="V127" s="32">
        <f t="shared" si="385"/>
        <v>322</v>
      </c>
      <c r="W127" s="32">
        <f t="shared" si="385"/>
        <v>468</v>
      </c>
      <c r="X127" s="32">
        <f t="shared" si="385"/>
        <v>565</v>
      </c>
      <c r="Y127" s="32">
        <f t="shared" si="385"/>
        <v>672</v>
      </c>
      <c r="Z127" s="32">
        <f t="shared" si="385"/>
        <v>796</v>
      </c>
      <c r="AA127" s="32">
        <f t="shared" si="385"/>
        <v>755</v>
      </c>
      <c r="AB127" s="32"/>
      <c r="AC127" s="32">
        <f>SUM(Q127:T127)</f>
        <v>1592</v>
      </c>
      <c r="AD127" s="32">
        <f>SUM(R127:U127)</f>
        <v>1771</v>
      </c>
      <c r="AE127" s="32">
        <f>SUM(S127:V127)</f>
        <v>1823</v>
      </c>
      <c r="AF127" s="32">
        <f>SUM(T127:W127)</f>
        <v>1787</v>
      </c>
      <c r="AG127" s="32">
        <f>SUM(U127:X127)</f>
        <v>1848</v>
      </c>
      <c r="AH127" s="32">
        <f>SUM(V127:Y127)</f>
        <v>2027</v>
      </c>
      <c r="AI127" s="32">
        <f>SUM(W127:Z127)</f>
        <v>2501</v>
      </c>
      <c r="AJ127" s="134">
        <f>SUM(X127:AA127)</f>
        <v>2788</v>
      </c>
      <c r="AK127" s="11"/>
      <c r="AL127" s="45"/>
    </row>
    <row r="128" spans="2:38">
      <c r="B128" s="89" t="s">
        <v>69</v>
      </c>
      <c r="C128" s="146">
        <f t="shared" ref="C128:D128" si="386">SUM(C123:C127)</f>
        <v>-81</v>
      </c>
      <c r="D128" s="146">
        <f t="shared" si="386"/>
        <v>1039</v>
      </c>
      <c r="E128" s="146">
        <f t="shared" ref="E128:G128" si="387">SUM(E123:E127)</f>
        <v>696</v>
      </c>
      <c r="F128" s="146">
        <f t="shared" si="387"/>
        <v>2288</v>
      </c>
      <c r="G128" s="146">
        <f t="shared" si="387"/>
        <v>4136</v>
      </c>
      <c r="H128" s="32"/>
      <c r="I128" s="146">
        <f t="shared" ref="I128:O128" si="388">SUM(I123:I127)</f>
        <v>341</v>
      </c>
      <c r="J128" s="146">
        <f t="shared" ref="J128:M128" si="389">SUM(J123:J127)</f>
        <v>186</v>
      </c>
      <c r="K128" s="146">
        <f t="shared" si="389"/>
        <v>419</v>
      </c>
      <c r="L128" s="146">
        <f t="shared" si="389"/>
        <v>93</v>
      </c>
      <c r="M128" s="146">
        <f t="shared" si="388"/>
        <v>111</v>
      </c>
      <c r="N128" s="146">
        <f t="shared" si="388"/>
        <v>260</v>
      </c>
      <c r="O128" s="146">
        <f t="shared" si="388"/>
        <v>188</v>
      </c>
      <c r="P128" s="146">
        <f t="shared" ref="P128" si="390">SUM(P123:P127)</f>
        <v>137</v>
      </c>
      <c r="Q128" s="146">
        <f t="shared" ref="Q128:AA128" si="391">SUM(Q123:Q127)</f>
        <v>314</v>
      </c>
      <c r="R128" s="146">
        <f t="shared" si="391"/>
        <v>584</v>
      </c>
      <c r="S128" s="146">
        <f t="shared" si="391"/>
        <v>1088</v>
      </c>
      <c r="T128" s="146">
        <f t="shared" si="391"/>
        <v>1592</v>
      </c>
      <c r="U128" s="146">
        <f t="shared" si="391"/>
        <v>2085</v>
      </c>
      <c r="V128" s="146">
        <f t="shared" si="391"/>
        <v>2407</v>
      </c>
      <c r="W128" s="146">
        <f t="shared" si="391"/>
        <v>2875</v>
      </c>
      <c r="X128" s="146">
        <f t="shared" si="391"/>
        <v>3440</v>
      </c>
      <c r="Y128" s="146">
        <f t="shared" si="391"/>
        <v>4112</v>
      </c>
      <c r="Z128" s="146">
        <f t="shared" si="391"/>
        <v>4908</v>
      </c>
      <c r="AA128" s="146">
        <f t="shared" si="391"/>
        <v>5663</v>
      </c>
      <c r="AB128" s="32"/>
      <c r="AC128" s="133">
        <f t="shared" ref="AC128:AJ128" si="392">SUM(AC123:AC127)</f>
        <v>1592</v>
      </c>
      <c r="AD128" s="133">
        <f t="shared" si="392"/>
        <v>2085</v>
      </c>
      <c r="AE128" s="133">
        <f t="shared" si="392"/>
        <v>2407</v>
      </c>
      <c r="AF128" s="146">
        <f t="shared" si="392"/>
        <v>2875</v>
      </c>
      <c r="AG128" s="146">
        <f t="shared" si="392"/>
        <v>3440</v>
      </c>
      <c r="AH128" s="146">
        <f t="shared" si="392"/>
        <v>4112</v>
      </c>
      <c r="AI128" s="146">
        <f t="shared" si="392"/>
        <v>4908</v>
      </c>
      <c r="AJ128" s="147">
        <f t="shared" si="392"/>
        <v>5663</v>
      </c>
      <c r="AK128" s="11"/>
      <c r="AL128" s="45"/>
    </row>
    <row r="129" spans="2:38" ht="5.0999999999999996" customHeight="1">
      <c r="B129" s="90"/>
      <c r="C129" s="65"/>
      <c r="D129" s="65"/>
      <c r="E129" s="65"/>
      <c r="F129" s="65"/>
      <c r="G129" s="65"/>
      <c r="H129" s="32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C129" s="11"/>
      <c r="AD129" s="11"/>
      <c r="AE129" s="11"/>
      <c r="AF129" s="11"/>
      <c r="AG129" s="11"/>
      <c r="AH129" s="11"/>
      <c r="AI129" s="11"/>
      <c r="AJ129" s="91"/>
      <c r="AK129" s="11"/>
      <c r="AL129" s="45"/>
    </row>
    <row r="130" spans="2:38">
      <c r="B130" s="138" t="s">
        <v>85</v>
      </c>
      <c r="C130" s="87">
        <f>ROUND(C128-C53,1)</f>
        <v>-1815</v>
      </c>
      <c r="D130" s="87">
        <f>ROUND(D128-D53,1)</f>
        <v>-886</v>
      </c>
      <c r="E130" s="87">
        <f>ROUND(E128-E53,1)</f>
        <v>-232</v>
      </c>
      <c r="F130" s="87">
        <f>ROUND(F128-F53,1)</f>
        <v>1422</v>
      </c>
      <c r="G130" s="87">
        <f>ROUND(G128-G53,1)</f>
        <v>3722</v>
      </c>
      <c r="H130" s="88"/>
      <c r="I130" s="87">
        <f>I128-I53</f>
        <v>-1675</v>
      </c>
      <c r="J130" s="87">
        <f>J128-J53</f>
        <v>-2489</v>
      </c>
      <c r="K130" s="87">
        <f>K128-K53</f>
        <v>-1528</v>
      </c>
      <c r="L130" s="87">
        <f>L128-L53</f>
        <v>-1832</v>
      </c>
      <c r="M130" s="87">
        <f>M128-M53</f>
        <v>-214</v>
      </c>
      <c r="N130" s="87">
        <f>N128-N53</f>
        <v>-16</v>
      </c>
      <c r="O130" s="87">
        <f>O128-O53</f>
        <v>-151</v>
      </c>
      <c r="P130" s="87">
        <f>P128-P53</f>
        <v>-791</v>
      </c>
      <c r="Q130" s="87">
        <f>Q128-Q53</f>
        <v>-256</v>
      </c>
      <c r="R130" s="87">
        <f>R128-R53</f>
        <v>158</v>
      </c>
      <c r="S130" s="87">
        <f>S128-S53</f>
        <v>136</v>
      </c>
      <c r="T130" s="87">
        <f>T128-T53</f>
        <v>726</v>
      </c>
      <c r="U130" s="87">
        <f>U128-U53</f>
        <v>-244</v>
      </c>
      <c r="V130" s="87">
        <f>V128-V53</f>
        <v>-506</v>
      </c>
      <c r="W130" s="87">
        <f>W128-W53</f>
        <v>373</v>
      </c>
      <c r="X130" s="87">
        <f>X128-X53</f>
        <v>3026</v>
      </c>
      <c r="Y130" s="87">
        <f>Y128-Y53</f>
        <v>3387</v>
      </c>
      <c r="Z130" s="87">
        <f>Z128-Z53</f>
        <v>4374</v>
      </c>
      <c r="AA130" s="87">
        <f>AA128-AA53</f>
        <v>4388</v>
      </c>
      <c r="AB130" s="87"/>
      <c r="AC130" s="87">
        <f>AC128-AC53</f>
        <v>726</v>
      </c>
      <c r="AD130" s="87">
        <f>AD128-AD53</f>
        <v>-244</v>
      </c>
      <c r="AE130" s="87">
        <f>AE128-AE53</f>
        <v>-506</v>
      </c>
      <c r="AF130" s="87">
        <f>AF128-AF53</f>
        <v>373</v>
      </c>
      <c r="AG130" s="87">
        <f>AG128-AG53</f>
        <v>3026</v>
      </c>
      <c r="AH130" s="87">
        <f>AH128-AH53</f>
        <v>3387</v>
      </c>
      <c r="AI130" s="87">
        <f>AI128-AI53</f>
        <v>4374</v>
      </c>
      <c r="AJ130" s="136">
        <f>AJ128-AJ53</f>
        <v>4388</v>
      </c>
      <c r="AK130" s="11"/>
      <c r="AL130" s="45"/>
    </row>
    <row r="131" spans="2:38" ht="5.0999999999999996" customHeight="1">
      <c r="B131" s="8"/>
      <c r="C131" s="65"/>
      <c r="D131" s="65"/>
      <c r="E131" s="65"/>
      <c r="F131" s="65"/>
      <c r="G131" s="65"/>
      <c r="H131" s="32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C131" s="11"/>
      <c r="AD131" s="11"/>
      <c r="AE131" s="11"/>
      <c r="AF131" s="11"/>
      <c r="AG131" s="11"/>
      <c r="AH131" s="11"/>
      <c r="AI131" s="11"/>
      <c r="AJ131" s="11"/>
      <c r="AK131" s="11"/>
      <c r="AL131" s="45"/>
    </row>
    <row r="132" spans="2:38" ht="12.75" customHeight="1">
      <c r="B132" s="72" t="s">
        <v>60</v>
      </c>
      <c r="C132" s="62"/>
      <c r="D132" s="62"/>
      <c r="E132" s="62"/>
      <c r="F132" s="62"/>
      <c r="G132" s="62"/>
      <c r="H132" s="11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82"/>
      <c r="Z132" s="62"/>
      <c r="AA132" s="62"/>
      <c r="AC132" s="62"/>
      <c r="AD132" s="62"/>
      <c r="AE132" s="62"/>
      <c r="AF132" s="62"/>
      <c r="AG132" s="62"/>
      <c r="AH132" s="62"/>
      <c r="AI132" s="62"/>
      <c r="AJ132" s="62"/>
      <c r="AK132" s="66"/>
      <c r="AL132" s="45"/>
    </row>
    <row r="133" spans="2:38" ht="12.75" customHeight="1">
      <c r="B133" s="8" t="s">
        <v>93</v>
      </c>
      <c r="C133" s="82"/>
      <c r="D133" s="82"/>
      <c r="E133" s="82"/>
      <c r="F133" s="82"/>
      <c r="G133" s="82"/>
      <c r="H133" s="11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32">
        <f>SUM(F133-SUM(Q133:S133))</f>
        <v>0</v>
      </c>
      <c r="U133" s="82"/>
      <c r="V133" s="82"/>
      <c r="W133" s="82"/>
      <c r="X133" s="32">
        <f>SUM(G133-SUM(U133:W133))</f>
        <v>0</v>
      </c>
      <c r="Y133" s="82"/>
      <c r="Z133" s="82"/>
      <c r="AA133" s="82"/>
      <c r="AC133" s="32">
        <f>SUM(Q133:T133)</f>
        <v>0</v>
      </c>
      <c r="AD133" s="32">
        <f>SUM(R133:U133)</f>
        <v>0</v>
      </c>
      <c r="AE133" s="32">
        <f>SUM(S133:V133)</f>
        <v>0</v>
      </c>
      <c r="AF133" s="32">
        <f>SUM(T133:W133)</f>
        <v>0</v>
      </c>
      <c r="AG133" s="32">
        <f>SUM(U133:X133)</f>
        <v>0</v>
      </c>
      <c r="AH133" s="32">
        <f>SUM(V133:Y133)</f>
        <v>0</v>
      </c>
      <c r="AI133" s="32">
        <f>SUM(W133:Z133)</f>
        <v>0</v>
      </c>
      <c r="AJ133" s="32">
        <f>SUM(X133:AA133)</f>
        <v>0</v>
      </c>
      <c r="AK133" s="66"/>
      <c r="AL133" s="45"/>
    </row>
    <row r="134" spans="2:38" ht="12.75" customHeight="1">
      <c r="B134" s="8" t="s">
        <v>109</v>
      </c>
      <c r="C134" s="82"/>
      <c r="D134" s="82"/>
      <c r="E134" s="82"/>
      <c r="F134" s="82"/>
      <c r="G134" s="82"/>
      <c r="H134" s="3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32">
        <f>SUM(F134-SUM(Q134:S134))</f>
        <v>0</v>
      </c>
      <c r="U134" s="82"/>
      <c r="V134" s="82"/>
      <c r="W134" s="82"/>
      <c r="X134" s="32">
        <f>SUM(G134-SUM(U134:W134))</f>
        <v>0</v>
      </c>
      <c r="Y134" s="82"/>
      <c r="Z134" s="82"/>
      <c r="AA134" s="82"/>
      <c r="AB134" s="32"/>
      <c r="AC134" s="32">
        <f>SUM(Q134:T134)</f>
        <v>0</v>
      </c>
      <c r="AD134" s="32">
        <f>SUM(R134:U134)</f>
        <v>0</v>
      </c>
      <c r="AE134" s="32">
        <f>SUM(S134:V134)</f>
        <v>0</v>
      </c>
      <c r="AF134" s="32">
        <f>SUM(T134:W134)</f>
        <v>0</v>
      </c>
      <c r="AG134" s="32">
        <f>SUM(U134:X134)</f>
        <v>0</v>
      </c>
      <c r="AH134" s="32">
        <f>SUM(V134:Y134)</f>
        <v>0</v>
      </c>
      <c r="AI134" s="32">
        <f>SUM(W134:Z134)</f>
        <v>0</v>
      </c>
      <c r="AJ134" s="32">
        <f>SUM(X134:AA134)</f>
        <v>0</v>
      </c>
      <c r="AK134" s="11"/>
      <c r="AL134" s="45"/>
    </row>
    <row r="135" spans="2:38" ht="5.0999999999999996" customHeight="1" thickBot="1">
      <c r="B135" s="73"/>
      <c r="C135" s="74"/>
      <c r="D135" s="74"/>
      <c r="E135" s="74"/>
      <c r="F135" s="74"/>
      <c r="G135" s="74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L135" s="45"/>
    </row>
    <row r="136" spans="2:38" ht="12.75" customHeight="1">
      <c r="B136" s="53"/>
      <c r="C136" s="67"/>
      <c r="D136" s="67"/>
      <c r="E136" s="67"/>
      <c r="F136" s="67"/>
      <c r="G136" s="67"/>
    </row>
    <row r="137" spans="2:38" ht="12.75" customHeight="1">
      <c r="C137" s="56"/>
      <c r="D137" s="56"/>
      <c r="E137" s="56"/>
      <c r="F137" s="56"/>
      <c r="G137" s="56"/>
    </row>
    <row r="138" spans="2:38" ht="12.75" customHeight="1"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</row>
    <row r="139" spans="2:38" ht="12.75" customHeight="1"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</row>
    <row r="140" spans="2:38" ht="12.75" customHeight="1"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</row>
    <row r="141" spans="2:38" ht="12.75" customHeight="1"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</row>
    <row r="142" spans="2:38" ht="12.75" customHeight="1"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86"/>
    </row>
    <row r="143" spans="2:38" ht="12.75" customHeight="1"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</row>
    <row r="144" spans="2:38" ht="12.75" customHeight="1"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86"/>
    </row>
    <row r="145" spans="3:22"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86"/>
    </row>
    <row r="146" spans="3:22"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86"/>
    </row>
    <row r="147" spans="3:22"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</row>
    <row r="148" spans="3:22"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86"/>
    </row>
    <row r="149" spans="3:22"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86"/>
    </row>
    <row r="150" spans="3:22"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</row>
    <row r="151" spans="3:22"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</row>
  </sheetData>
  <mergeCells count="3">
    <mergeCell ref="AL6:AL8"/>
    <mergeCell ref="AL48:AL50"/>
    <mergeCell ref="AL92:AL94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H59 AC27:AG28 AC32:AJ33 AC11:AJ12" formulaRange="1"/>
    <ignoredError sqref="E27:G28 R27:AA28 R32:AA32 E32:G32 AJ113:AL115 AJ106:AL107 AK112 AJ108:AK108 AK116:AL116 R41:AA41 R44:AA44 R42:AA42 R45:S45 Y45:AA45 E41:H41 H34 E44:H45 E42:F42 H42 AC41:AJ41 AC44:AJ44 AC42:AJ42 AC45:AJ45 AC35:AJ35 E35:H35 R35:AA35 H43 H46" evalError="1"/>
    <ignoredError sqref="AC126:AJ126 AC125:AJ125" formula="1"/>
    <ignoredError sqref="AC34:AJ34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V53"/>
  <sheetViews>
    <sheetView showGridLines="0" topLeftCell="C5" zoomScaleNormal="100" workbookViewId="0">
      <selection activeCell="I20" sqref="I20:AA20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7" width="8.625" style="8" bestFit="1" customWidth="1"/>
    <col min="8" max="8" width="1.5" style="8" customWidth="1"/>
    <col min="9" max="18" width="8" style="8" customWidth="1" outlineLevel="1"/>
    <col min="19" max="20" width="8.75" style="8" customWidth="1" outlineLevel="1"/>
    <col min="21" max="21" width="8.5" style="8" customWidth="1" outlineLevel="1"/>
    <col min="22" max="22" width="8.25" style="8" customWidth="1" outlineLevel="1"/>
    <col min="23" max="23" width="8.5" style="8" bestFit="1" customWidth="1"/>
    <col min="24" max="27" width="9.125" style="8" bestFit="1" customWidth="1"/>
    <col min="28" max="28" width="1.5" style="8" customWidth="1"/>
    <col min="29" max="31" width="8.75" style="8" customWidth="1" outlineLevel="1"/>
    <col min="32" max="32" width="8.75" style="8" customWidth="1"/>
    <col min="33" max="35" width="8.75" style="8" customWidth="1" outlineLevel="1"/>
    <col min="36" max="36" width="8.75" style="8" customWidth="1"/>
    <col min="37" max="16384" width="9" style="8"/>
  </cols>
  <sheetData>
    <row r="2" spans="1:36" s="5" customFormat="1" ht="12.75" customHeight="1">
      <c r="B2" s="1" t="str">
        <f>'Historical Financials'!B2</f>
        <v xml:space="preserve">Boston Scientific Corp. (NYSE: BSX) 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</v>
      </c>
      <c r="X2" s="2"/>
      <c r="Y2" s="2"/>
      <c r="Z2" s="2"/>
      <c r="AA2" s="2"/>
      <c r="AB2" s="3"/>
      <c r="AC2" s="2"/>
      <c r="AD2" s="2"/>
      <c r="AE2" s="2"/>
      <c r="AF2" s="2"/>
      <c r="AG2" s="2"/>
      <c r="AH2" s="2"/>
      <c r="AI2" s="2"/>
      <c r="AJ2" s="2"/>
    </row>
    <row r="3" spans="1:36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1Q21</v>
      </c>
      <c r="J3" s="7" t="str">
        <f>'Historical Financials'!J7</f>
        <v>2Q21</v>
      </c>
      <c r="K3" s="7" t="str">
        <f>'Historical Financials'!K7</f>
        <v>3Q21</v>
      </c>
      <c r="L3" s="7" t="str">
        <f>'Historical Financials'!L7</f>
        <v>4Q21</v>
      </c>
      <c r="M3" s="7" t="str">
        <f>'Historical Financials'!M7</f>
        <v>1Q22</v>
      </c>
      <c r="N3" s="7" t="str">
        <f>'Historical Financials'!N7</f>
        <v>2Q22</v>
      </c>
      <c r="O3" s="7" t="str">
        <f>'Historical Financials'!O7</f>
        <v>3Q22</v>
      </c>
      <c r="P3" s="7" t="str">
        <f>'Historical Financials'!P7</f>
        <v>4Q22</v>
      </c>
      <c r="Q3" s="7" t="str">
        <f>'Historical Financials'!Q7</f>
        <v>1Q23</v>
      </c>
      <c r="R3" s="7" t="str">
        <f>'Historical Financials'!R7</f>
        <v>2Q23</v>
      </c>
      <c r="S3" s="7" t="str">
        <f>'Historical Financials'!S7</f>
        <v>3Q23</v>
      </c>
      <c r="T3" s="7" t="str">
        <f>'Historical Financials'!T7</f>
        <v>4Q23</v>
      </c>
      <c r="U3" s="7" t="str">
        <f>'Historical Financials'!U7</f>
        <v>1Q24</v>
      </c>
      <c r="V3" s="7" t="str">
        <f>'Historical Financials'!V7</f>
        <v>2Q24</v>
      </c>
      <c r="W3" s="7" t="str">
        <f>'Historical Financials'!W7</f>
        <v>3Q24</v>
      </c>
      <c r="X3" s="7" t="str">
        <f>'Historical Financials'!X7</f>
        <v>4Q24</v>
      </c>
      <c r="Y3" s="7" t="str">
        <f>'Historical Financials'!Y7</f>
        <v>1Q25</v>
      </c>
      <c r="Z3" s="7" t="str">
        <f>'Historical Financials'!Z7</f>
        <v>2Q25</v>
      </c>
      <c r="AA3" s="7" t="str">
        <f>'Historical Financials'!AA7</f>
        <v>3Q25</v>
      </c>
      <c r="AB3" s="4"/>
      <c r="AC3" s="4" t="str">
        <f>T3</f>
        <v>4Q23</v>
      </c>
      <c r="AD3" s="4" t="str">
        <f>U3</f>
        <v>1Q24</v>
      </c>
      <c r="AE3" s="4" t="str">
        <f>V3</f>
        <v>2Q24</v>
      </c>
      <c r="AF3" s="4" t="str">
        <f>W3</f>
        <v>3Q24</v>
      </c>
      <c r="AG3" s="4" t="str">
        <f>X3</f>
        <v>4Q24</v>
      </c>
      <c r="AH3" s="4" t="str">
        <f>Y3</f>
        <v>1Q25</v>
      </c>
      <c r="AI3" s="4" t="str">
        <f>Z3</f>
        <v>2Q25</v>
      </c>
      <c r="AJ3" s="4" t="str">
        <f>AA3</f>
        <v>3Q25</v>
      </c>
    </row>
    <row r="4" spans="1:36" s="5" customFormat="1" ht="12.75" customHeight="1">
      <c r="B4" s="6" t="s">
        <v>158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/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>
        <f>'Historical Financials'!X8</f>
        <v>0</v>
      </c>
      <c r="Y4" s="3">
        <f>'Historical Financials'!Y8</f>
        <v>0</v>
      </c>
      <c r="Z4" s="3">
        <f>'Historical Financials'!Z8</f>
        <v>0</v>
      </c>
      <c r="AA4" s="3">
        <f>'Historical Financials'!AA8</f>
        <v>0</v>
      </c>
      <c r="AB4" s="3"/>
      <c r="AC4" s="3">
        <f>T4</f>
        <v>0</v>
      </c>
      <c r="AD4" s="3">
        <f>U4</f>
        <v>0</v>
      </c>
      <c r="AE4" s="3">
        <f>V4</f>
        <v>0</v>
      </c>
      <c r="AF4" s="3">
        <f>W4</f>
        <v>0</v>
      </c>
      <c r="AG4" s="3">
        <f>X4</f>
        <v>0</v>
      </c>
      <c r="AH4" s="3">
        <f>Y4</f>
        <v>0</v>
      </c>
      <c r="AI4" s="3">
        <f>Z4</f>
        <v>0</v>
      </c>
      <c r="AJ4" s="3">
        <f>AA4</f>
        <v>0</v>
      </c>
    </row>
    <row r="5" spans="1:36" ht="5.0999999999999996" customHeight="1"/>
    <row r="6" spans="1:36">
      <c r="A6" s="36" t="s">
        <v>16</v>
      </c>
      <c r="B6" s="1" t="s">
        <v>159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t="5.0999999999999996" customHeight="1"/>
    <row r="8" spans="1:36" ht="12.75" customHeight="1">
      <c r="A8" s="80" t="s">
        <v>16</v>
      </c>
      <c r="B8" s="78" t="s">
        <v>160</v>
      </c>
      <c r="C8" s="10"/>
      <c r="D8" s="10"/>
      <c r="E8" s="10"/>
      <c r="F8" s="10"/>
      <c r="G8" s="10"/>
      <c r="H8" s="10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32"/>
      <c r="U8" s="95"/>
      <c r="V8" s="95"/>
      <c r="W8" s="95"/>
      <c r="X8" s="32"/>
      <c r="Y8" s="95"/>
      <c r="Z8" s="95"/>
      <c r="AA8" s="95"/>
      <c r="AB8" s="5"/>
      <c r="AC8" s="11"/>
      <c r="AD8" s="11"/>
      <c r="AE8" s="11"/>
      <c r="AF8" s="11"/>
      <c r="AG8" s="11"/>
      <c r="AH8" s="11"/>
      <c r="AI8" s="11"/>
      <c r="AJ8" s="11"/>
    </row>
    <row r="9" spans="1:36">
      <c r="B9" s="9" t="s">
        <v>179</v>
      </c>
      <c r="C9" s="171">
        <f>C23</f>
        <v>3827</v>
      </c>
      <c r="D9" s="171">
        <f t="shared" ref="D9:G9" si="0">D23</f>
        <v>4633</v>
      </c>
      <c r="E9" s="171">
        <f t="shared" si="0"/>
        <v>4911</v>
      </c>
      <c r="F9" s="171">
        <f t="shared" si="0"/>
        <v>5422</v>
      </c>
      <c r="G9" s="171">
        <f t="shared" si="0"/>
        <v>5993</v>
      </c>
      <c r="H9" s="81"/>
      <c r="I9" s="171">
        <f t="shared" ref="I9:J9" si="1">I23</f>
        <v>1058</v>
      </c>
      <c r="J9" s="171">
        <f t="shared" si="1"/>
        <v>1195</v>
      </c>
      <c r="K9" s="171">
        <f t="shared" ref="K9:Q9" si="2">K23</f>
        <v>1138</v>
      </c>
      <c r="L9" s="171">
        <f t="shared" si="2"/>
        <v>1242</v>
      </c>
      <c r="M9" s="171">
        <f t="shared" si="2"/>
        <v>1154</v>
      </c>
      <c r="N9" s="171">
        <f t="shared" si="2"/>
        <v>1249</v>
      </c>
      <c r="O9" s="171">
        <f t="shared" si="2"/>
        <v>1213</v>
      </c>
      <c r="P9" s="171">
        <f t="shared" si="2"/>
        <v>1295</v>
      </c>
      <c r="Q9" s="171">
        <f t="shared" ref="Q9:AA9" si="3">Q23</f>
        <v>1280</v>
      </c>
      <c r="R9" s="171">
        <f t="shared" si="3"/>
        <v>1359</v>
      </c>
      <c r="S9" s="171">
        <f t="shared" si="3"/>
        <v>1341</v>
      </c>
      <c r="T9" s="171">
        <f t="shared" si="3"/>
        <v>1442</v>
      </c>
      <c r="U9" s="171">
        <f t="shared" si="3"/>
        <v>1411</v>
      </c>
      <c r="V9" s="171">
        <f t="shared" si="3"/>
        <v>1482</v>
      </c>
      <c r="W9" s="171">
        <f t="shared" si="3"/>
        <v>1478</v>
      </c>
      <c r="X9" s="171">
        <f t="shared" si="3"/>
        <v>1622</v>
      </c>
      <c r="Y9" s="171">
        <f t="shared" si="3"/>
        <v>1577</v>
      </c>
      <c r="Z9" s="171">
        <f t="shared" si="3"/>
        <v>1716</v>
      </c>
      <c r="AA9" s="171">
        <f t="shared" si="3"/>
        <v>1722</v>
      </c>
      <c r="AB9" s="5"/>
      <c r="AC9" s="32">
        <f t="shared" ref="AC9:AC11" si="4">SUM(Q9:T9)</f>
        <v>5422</v>
      </c>
      <c r="AD9" s="32">
        <f t="shared" ref="AD9:AD11" si="5">SUM(R9:U9)</f>
        <v>5553</v>
      </c>
      <c r="AE9" s="32">
        <f t="shared" ref="AE9:AE11" si="6">SUM(S9:V9)</f>
        <v>5676</v>
      </c>
      <c r="AF9" s="32">
        <f t="shared" ref="AF9:AF11" si="7">SUM(T9:W9)</f>
        <v>5813</v>
      </c>
      <c r="AG9" s="32">
        <f t="shared" ref="AG9:AG11" si="8">SUM(U9:X9)</f>
        <v>5993</v>
      </c>
      <c r="AH9" s="32">
        <f t="shared" ref="AH9:AH11" si="9">SUM(V9:Y9)</f>
        <v>6159</v>
      </c>
      <c r="AI9" s="32">
        <f t="shared" ref="AI9:AI11" si="10">SUM(W9:Z9)</f>
        <v>6393</v>
      </c>
      <c r="AJ9" s="32">
        <f t="shared" ref="AJ9:AJ11" si="11">SUM(X9:AA9)</f>
        <v>6637</v>
      </c>
    </row>
    <row r="10" spans="1:36" ht="12.75" customHeight="1">
      <c r="A10" s="80"/>
      <c r="B10" s="9" t="s">
        <v>180</v>
      </c>
      <c r="C10" s="171">
        <f>C34</f>
        <v>4509</v>
      </c>
      <c r="D10" s="171">
        <f t="shared" ref="D10:G10" si="12">D34</f>
        <v>5422</v>
      </c>
      <c r="E10" s="171">
        <f t="shared" si="12"/>
        <v>5932</v>
      </c>
      <c r="F10" s="171">
        <f t="shared" si="12"/>
        <v>6709</v>
      </c>
      <c r="G10" s="171">
        <f t="shared" si="12"/>
        <v>8344</v>
      </c>
      <c r="H10" s="10"/>
      <c r="I10" s="171">
        <f t="shared" ref="I10:J10" si="13">I34</f>
        <v>1248</v>
      </c>
      <c r="J10" s="171">
        <f t="shared" si="13"/>
        <v>1409</v>
      </c>
      <c r="K10" s="171">
        <f t="shared" ref="K10:Q10" si="14">K34</f>
        <v>1342</v>
      </c>
      <c r="L10" s="171">
        <f t="shared" si="14"/>
        <v>1423</v>
      </c>
      <c r="M10" s="171">
        <f t="shared" si="14"/>
        <v>1407</v>
      </c>
      <c r="N10" s="171">
        <f t="shared" si="14"/>
        <v>1517</v>
      </c>
      <c r="O10" s="171">
        <f t="shared" si="14"/>
        <v>1478</v>
      </c>
      <c r="P10" s="171">
        <f t="shared" si="14"/>
        <v>1530</v>
      </c>
      <c r="Q10" s="171">
        <f t="shared" ref="Q10:AA10" si="15">Q34</f>
        <v>1607</v>
      </c>
      <c r="R10" s="171">
        <f t="shared" si="15"/>
        <v>1705</v>
      </c>
      <c r="S10" s="171">
        <f t="shared" si="15"/>
        <v>1648</v>
      </c>
      <c r="T10" s="171">
        <f t="shared" si="15"/>
        <v>1749</v>
      </c>
      <c r="U10" s="171">
        <f t="shared" si="15"/>
        <v>1871</v>
      </c>
      <c r="V10" s="171">
        <f t="shared" si="15"/>
        <v>2048</v>
      </c>
      <c r="W10" s="171">
        <f t="shared" si="15"/>
        <v>2129</v>
      </c>
      <c r="X10" s="171">
        <f t="shared" si="15"/>
        <v>2296</v>
      </c>
      <c r="Y10" s="171">
        <f t="shared" si="15"/>
        <v>2429</v>
      </c>
      <c r="Z10" s="171">
        <f t="shared" si="15"/>
        <v>2647</v>
      </c>
      <c r="AA10" s="171">
        <f t="shared" si="15"/>
        <v>2641</v>
      </c>
      <c r="AB10" s="5"/>
      <c r="AC10" s="32">
        <f t="shared" si="4"/>
        <v>6709</v>
      </c>
      <c r="AD10" s="32">
        <f t="shared" si="5"/>
        <v>6973</v>
      </c>
      <c r="AE10" s="32">
        <f t="shared" si="6"/>
        <v>7316</v>
      </c>
      <c r="AF10" s="32">
        <f t="shared" si="7"/>
        <v>7797</v>
      </c>
      <c r="AG10" s="32">
        <f t="shared" si="8"/>
        <v>8344</v>
      </c>
      <c r="AH10" s="32">
        <f t="shared" si="9"/>
        <v>8902</v>
      </c>
      <c r="AI10" s="32">
        <f t="shared" si="10"/>
        <v>9501</v>
      </c>
      <c r="AJ10" s="32">
        <f t="shared" si="11"/>
        <v>10013</v>
      </c>
    </row>
    <row r="11" spans="1:36">
      <c r="B11" s="9" t="s">
        <v>181</v>
      </c>
      <c r="C11" s="81">
        <v>1577</v>
      </c>
      <c r="D11" s="81">
        <v>1820</v>
      </c>
      <c r="E11" s="81">
        <v>1899</v>
      </c>
      <c r="F11" s="81">
        <v>2109</v>
      </c>
      <c r="G11" s="81">
        <v>2410</v>
      </c>
      <c r="H11" s="81"/>
      <c r="I11" s="95">
        <v>433</v>
      </c>
      <c r="J11" s="95">
        <v>433</v>
      </c>
      <c r="K11" s="95">
        <v>433</v>
      </c>
      <c r="L11" s="95">
        <v>433</v>
      </c>
      <c r="M11" s="95">
        <v>433</v>
      </c>
      <c r="N11" s="95">
        <v>433</v>
      </c>
      <c r="O11" s="95">
        <v>433</v>
      </c>
      <c r="P11" s="95">
        <v>433</v>
      </c>
      <c r="Q11" s="95">
        <v>433</v>
      </c>
      <c r="R11" s="95">
        <v>473</v>
      </c>
      <c r="S11" s="95">
        <v>452</v>
      </c>
      <c r="T11" s="32">
        <v>462</v>
      </c>
      <c r="U11" s="95">
        <v>465</v>
      </c>
      <c r="V11" s="95">
        <v>478</v>
      </c>
      <c r="W11" s="95">
        <v>479</v>
      </c>
      <c r="X11" s="32">
        <v>477</v>
      </c>
      <c r="Y11" s="82">
        <v>502</v>
      </c>
      <c r="Z11" s="82">
        <v>535</v>
      </c>
      <c r="AA11" s="81">
        <v>538</v>
      </c>
      <c r="AB11" s="5"/>
      <c r="AC11" s="32">
        <f t="shared" si="4"/>
        <v>1820</v>
      </c>
      <c r="AD11" s="32">
        <f t="shared" si="5"/>
        <v>1852</v>
      </c>
      <c r="AE11" s="32">
        <f t="shared" si="6"/>
        <v>1857</v>
      </c>
      <c r="AF11" s="32">
        <f t="shared" si="7"/>
        <v>1884</v>
      </c>
      <c r="AG11" s="32">
        <f t="shared" si="8"/>
        <v>1899</v>
      </c>
      <c r="AH11" s="32">
        <f t="shared" si="9"/>
        <v>1936</v>
      </c>
      <c r="AI11" s="32">
        <f t="shared" si="10"/>
        <v>1993</v>
      </c>
      <c r="AJ11" s="32">
        <f t="shared" si="11"/>
        <v>2052</v>
      </c>
    </row>
    <row r="12" spans="1:36">
      <c r="B12" s="13" t="s">
        <v>65</v>
      </c>
      <c r="C12" s="14">
        <f t="shared" ref="C12:D12" si="16">SUM(C9:C11)</f>
        <v>9913</v>
      </c>
      <c r="D12" s="14">
        <f t="shared" si="16"/>
        <v>11875</v>
      </c>
      <c r="E12" s="14">
        <f>SUM(E9:E11)</f>
        <v>12742</v>
      </c>
      <c r="F12" s="14">
        <f>SUM(F9:F11)</f>
        <v>14240</v>
      </c>
      <c r="G12" s="14">
        <f>SUM(G9:G11)</f>
        <v>16747</v>
      </c>
      <c r="H12" s="11"/>
      <c r="I12" s="14">
        <f t="shared" ref="I12" si="17">SUM(I9:I11)</f>
        <v>2739</v>
      </c>
      <c r="J12" s="14">
        <f t="shared" ref="J12" si="18">SUM(J9:J11)</f>
        <v>3037</v>
      </c>
      <c r="K12" s="14">
        <f t="shared" ref="K12:P12" si="19">SUM(K9:K11)</f>
        <v>2913</v>
      </c>
      <c r="L12" s="14">
        <f t="shared" si="19"/>
        <v>3098</v>
      </c>
      <c r="M12" s="14">
        <f t="shared" si="19"/>
        <v>2994</v>
      </c>
      <c r="N12" s="14">
        <f t="shared" si="19"/>
        <v>3199</v>
      </c>
      <c r="O12" s="14">
        <f t="shared" si="19"/>
        <v>3124</v>
      </c>
      <c r="P12" s="14">
        <f t="shared" si="19"/>
        <v>3258</v>
      </c>
      <c r="Q12" s="14">
        <f>SUM(Q9:Q11)</f>
        <v>3320</v>
      </c>
      <c r="R12" s="14">
        <f>SUM(R9:R11)</f>
        <v>3537</v>
      </c>
      <c r="S12" s="14">
        <f>SUM(S9:S11)</f>
        <v>3441</v>
      </c>
      <c r="T12" s="14">
        <f>SUM(T9:T11)</f>
        <v>3653</v>
      </c>
      <c r="U12" s="14">
        <f>SUM(U9:U11)</f>
        <v>3747</v>
      </c>
      <c r="V12" s="14">
        <f>SUM(V9:V11)</f>
        <v>4008</v>
      </c>
      <c r="W12" s="14">
        <f>SUM(W9:W11)</f>
        <v>4086</v>
      </c>
      <c r="X12" s="14">
        <f>SUM(X9:X11)</f>
        <v>4395</v>
      </c>
      <c r="Y12" s="14">
        <f>SUM(Y9:Y11)</f>
        <v>4508</v>
      </c>
      <c r="Z12" s="14">
        <f>SUM(Z9:Z11)</f>
        <v>4898</v>
      </c>
      <c r="AA12" s="14">
        <f>SUM(AA9:AA11)</f>
        <v>4901</v>
      </c>
      <c r="AB12" s="5"/>
      <c r="AC12" s="14">
        <f>SUM(AC9:AC11)</f>
        <v>13951</v>
      </c>
      <c r="AD12" s="14">
        <f>SUM(AD9:AD11)</f>
        <v>14378</v>
      </c>
      <c r="AE12" s="14">
        <f>SUM(AE9:AE11)</f>
        <v>14849</v>
      </c>
      <c r="AF12" s="14">
        <f>SUM(AF9:AF11)</f>
        <v>15494</v>
      </c>
      <c r="AG12" s="14">
        <f>SUM(AG9:AG11)</f>
        <v>16236</v>
      </c>
      <c r="AH12" s="14">
        <f>SUM(AH9:AH11)</f>
        <v>16997</v>
      </c>
      <c r="AI12" s="14">
        <f>SUM(AI9:AI11)</f>
        <v>17887</v>
      </c>
      <c r="AJ12" s="14">
        <f>SUM(AJ9:AJ11)</f>
        <v>18702</v>
      </c>
    </row>
    <row r="13" spans="1:36" outlineLevel="1">
      <c r="B13" s="131" t="s">
        <v>161</v>
      </c>
      <c r="C13" s="79">
        <f>C12-'Historical Financials'!C11</f>
        <v>0</v>
      </c>
      <c r="D13" s="79">
        <f>D12-'Historical Financials'!D11</f>
        <v>-13</v>
      </c>
      <c r="E13" s="79">
        <f>E12-'Historical Financials'!E11</f>
        <v>60</v>
      </c>
      <c r="F13" s="79">
        <f>F12-'Historical Financials'!F11</f>
        <v>0</v>
      </c>
      <c r="G13" s="79">
        <f>G12-'Historical Financials'!G11</f>
        <v>0</v>
      </c>
      <c r="H13" s="11"/>
      <c r="I13" s="79">
        <f>I12-'Historical Financials'!I11</f>
        <v>-13</v>
      </c>
      <c r="J13" s="79">
        <f>J12-'Historical Financials'!J11</f>
        <v>-40</v>
      </c>
      <c r="K13" s="79">
        <f>K12-'Historical Financials'!K11</f>
        <v>-19</v>
      </c>
      <c r="L13" s="79">
        <f>L12-'Historical Financials'!L11</f>
        <v>-29</v>
      </c>
      <c r="M13" s="79">
        <f>M12-'Historical Financials'!M11</f>
        <v>-32</v>
      </c>
      <c r="N13" s="79">
        <f>N12-'Historical Financials'!N11</f>
        <v>-45</v>
      </c>
      <c r="O13" s="79">
        <f>O12-'Historical Financials'!O11</f>
        <v>-46</v>
      </c>
      <c r="P13" s="79">
        <f>P12-'Historical Financials'!P11</f>
        <v>16</v>
      </c>
      <c r="Q13" s="79">
        <f>Q12-'Historical Financials'!Q11</f>
        <v>-69</v>
      </c>
      <c r="R13" s="79">
        <f>R12-'Historical Financials'!R11</f>
        <v>-62</v>
      </c>
      <c r="S13" s="79">
        <f>S12-'Historical Financials'!S11</f>
        <v>-86</v>
      </c>
      <c r="T13" s="79">
        <f>T12-'Historical Financials'!T11</f>
        <v>-72</v>
      </c>
      <c r="U13" s="79">
        <f>U12-'Historical Financials'!U11</f>
        <v>-110</v>
      </c>
      <c r="V13" s="79">
        <f>V12-'Historical Financials'!V11</f>
        <v>-112</v>
      </c>
      <c r="W13" s="79">
        <f>W12-'Historical Financials'!W11</f>
        <v>-123</v>
      </c>
      <c r="X13" s="79">
        <f>X12-'Historical Financials'!X11</f>
        <v>-166</v>
      </c>
      <c r="Y13" s="79">
        <f>Y12-'Historical Financials'!Y11</f>
        <v>-155</v>
      </c>
      <c r="Z13" s="79">
        <f>Z12-'Historical Financials'!Z11</f>
        <v>-163</v>
      </c>
      <c r="AA13" s="79">
        <f>AA12-'Historical Financials'!AA11</f>
        <v>-164</v>
      </c>
      <c r="AB13" s="79"/>
      <c r="AC13" s="79">
        <f>AC12-'Historical Financials'!AE11</f>
        <v>-1278</v>
      </c>
      <c r="AD13" s="79">
        <f>AD12-'Historical Financials'!AF11</f>
        <v>-1533</v>
      </c>
      <c r="AE13" s="79">
        <f>AE12-'Historical Financials'!AG11</f>
        <v>-1898</v>
      </c>
      <c r="AF13" s="79">
        <f>AF12-'Historical Financials'!AH11</f>
        <v>-2059</v>
      </c>
      <c r="AG13" s="79">
        <f>AG12-'Historical Financials'!AI11</f>
        <v>-2258</v>
      </c>
      <c r="AH13" s="79">
        <f>AH12-'Historical Financials'!AJ11</f>
        <v>-2353</v>
      </c>
      <c r="AI13" s="79">
        <f>AI12-'Historical Financials'!AK11</f>
        <v>17887</v>
      </c>
      <c r="AJ13" s="79">
        <f>AJ12-'Historical Financials'!AL11</f>
        <v>18701.783860222487</v>
      </c>
    </row>
    <row r="14" spans="1:36">
      <c r="B14" s="18"/>
      <c r="C14" s="19"/>
      <c r="D14" s="19"/>
      <c r="E14" s="19"/>
      <c r="F14" s="19"/>
      <c r="G14" s="19"/>
      <c r="H14" s="20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2"/>
      <c r="U14" s="21"/>
      <c r="V14" s="21"/>
      <c r="W14" s="21"/>
      <c r="X14" s="21"/>
      <c r="Y14" s="21"/>
      <c r="Z14" s="21"/>
      <c r="AA14" s="21"/>
      <c r="AB14" s="20"/>
      <c r="AC14" s="20"/>
      <c r="AD14" s="20"/>
      <c r="AE14" s="20"/>
      <c r="AF14" s="20"/>
      <c r="AG14" s="20"/>
      <c r="AH14" s="20"/>
      <c r="AI14" s="20"/>
      <c r="AJ14" s="20"/>
    </row>
    <row r="15" spans="1:36">
      <c r="B15" s="152" t="str">
        <f>B9&amp;"(%)"</f>
        <v>MedSurg (%)</v>
      </c>
      <c r="C15" s="153">
        <f t="shared" ref="C15:D15" si="20">SUM(C9/C$12)</f>
        <v>0.3860587107838192</v>
      </c>
      <c r="D15" s="153">
        <f t="shared" si="20"/>
        <v>0.39014736842105263</v>
      </c>
      <c r="E15" s="153">
        <f>SUM(E9/E$12)</f>
        <v>0.38541830167948515</v>
      </c>
      <c r="F15" s="153">
        <f>SUM(F9/F$12)</f>
        <v>0.38075842696629214</v>
      </c>
      <c r="G15" s="153">
        <f>SUM(G9/G$12)</f>
        <v>0.35785513823371351</v>
      </c>
      <c r="H15" s="154"/>
      <c r="I15" s="153">
        <f t="shared" ref="I15:J15" si="21">SUM(I9/I$12)</f>
        <v>0.38627236217597666</v>
      </c>
      <c r="J15" s="153">
        <f t="shared" si="21"/>
        <v>0.39348040829766218</v>
      </c>
      <c r="K15" s="153">
        <f t="shared" ref="K15:Q15" si="22">SUM(K9/K$12)</f>
        <v>0.39066254720219706</v>
      </c>
      <c r="L15" s="153">
        <f t="shared" si="22"/>
        <v>0.40090380890897354</v>
      </c>
      <c r="M15" s="153">
        <f t="shared" si="22"/>
        <v>0.38543754175016698</v>
      </c>
      <c r="N15" s="153">
        <f t="shared" si="22"/>
        <v>0.39043451078462021</v>
      </c>
      <c r="O15" s="153">
        <f t="shared" si="22"/>
        <v>0.38828425096030728</v>
      </c>
      <c r="P15" s="153">
        <f t="shared" si="22"/>
        <v>0.3974831184775936</v>
      </c>
      <c r="Q15" s="153">
        <f>SUM(Q9/Q$12)</f>
        <v>0.38554216867469882</v>
      </c>
      <c r="R15" s="153">
        <f>SUM(R9/R$12)</f>
        <v>0.38422391857506361</v>
      </c>
      <c r="S15" s="153">
        <f>SUM(S9/S$12)</f>
        <v>0.38971229293809939</v>
      </c>
      <c r="T15" s="153">
        <f>SUM(T9/T$12)</f>
        <v>0.39474404598959761</v>
      </c>
      <c r="U15" s="153">
        <f>SUM(U9/U$12)</f>
        <v>0.37656792100346942</v>
      </c>
      <c r="V15" s="153">
        <f>SUM(V9/V$12)</f>
        <v>0.36976047904191617</v>
      </c>
      <c r="W15" s="153">
        <f>SUM(W9/W$12)</f>
        <v>0.36172295643661284</v>
      </c>
      <c r="X15" s="153">
        <f>SUM(X9/X$12)</f>
        <v>0.3690557451649602</v>
      </c>
      <c r="Y15" s="153">
        <f>SUM(Y9/Y$12)</f>
        <v>0.34982253771073646</v>
      </c>
      <c r="Z15" s="153">
        <f>SUM(Z9/Z$12)</f>
        <v>0.35034708044099633</v>
      </c>
      <c r="AA15" s="153">
        <f>SUM(AA9/AA$12)</f>
        <v>0.35135686594572535</v>
      </c>
      <c r="AB15" s="154"/>
      <c r="AC15" s="155">
        <f t="shared" ref="AC15:AC17" si="23">T15</f>
        <v>0.39474404598959761</v>
      </c>
      <c r="AD15" s="155">
        <f t="shared" ref="AD15:AD17" si="24">U15</f>
        <v>0.37656792100346942</v>
      </c>
      <c r="AE15" s="155">
        <f t="shared" ref="AE15:AE17" si="25">V15</f>
        <v>0.36976047904191617</v>
      </c>
      <c r="AF15" s="155">
        <f t="shared" ref="AF15:AF17" si="26">W15</f>
        <v>0.36172295643661284</v>
      </c>
      <c r="AG15" s="155">
        <f t="shared" ref="AG15:AG17" si="27">X15</f>
        <v>0.3690557451649602</v>
      </c>
      <c r="AH15" s="155">
        <f t="shared" ref="AH15:AH17" si="28">Y15</f>
        <v>0.34982253771073646</v>
      </c>
      <c r="AI15" s="155">
        <f t="shared" ref="AI15:AI17" si="29">Z15</f>
        <v>0.35034708044099633</v>
      </c>
      <c r="AJ15" s="156">
        <f t="shared" ref="AJ15:AJ17" si="30">AA15</f>
        <v>0.35135686594572535</v>
      </c>
    </row>
    <row r="16" spans="1:36">
      <c r="B16" s="166" t="str">
        <f>B10&amp;"(%)"</f>
        <v>Cardiology(%)</v>
      </c>
      <c r="C16" s="167">
        <f t="shared" ref="C16:D16" si="31">SUM(C10/C$12)</f>
        <v>0.45485725814586908</v>
      </c>
      <c r="D16" s="167">
        <f t="shared" si="31"/>
        <v>0.45658947368421055</v>
      </c>
      <c r="E16" s="167">
        <f>SUM(E10/E$12)</f>
        <v>0.46554700988855752</v>
      </c>
      <c r="F16" s="167">
        <f>SUM(F10/F$12)</f>
        <v>0.47113764044943818</v>
      </c>
      <c r="G16" s="167">
        <f>SUM(G10/G$12)</f>
        <v>0.49823849047590613</v>
      </c>
      <c r="H16" s="168"/>
      <c r="I16" s="167">
        <f t="shared" ref="I16:J16" si="32">SUM(I10/I$12)</f>
        <v>0.45564074479737132</v>
      </c>
      <c r="J16" s="167">
        <f t="shared" si="32"/>
        <v>0.46394468225222257</v>
      </c>
      <c r="K16" s="167">
        <f t="shared" ref="K16:Q16" si="33">SUM(K10/K$12)</f>
        <v>0.4606934431857192</v>
      </c>
      <c r="L16" s="167">
        <f t="shared" si="33"/>
        <v>0.45932859909619111</v>
      </c>
      <c r="M16" s="167">
        <f t="shared" si="33"/>
        <v>0.46993987975951906</v>
      </c>
      <c r="N16" s="167">
        <f t="shared" si="33"/>
        <v>0.47421069084088779</v>
      </c>
      <c r="O16" s="167">
        <f t="shared" si="33"/>
        <v>0.47311139564660692</v>
      </c>
      <c r="P16" s="167">
        <f t="shared" si="33"/>
        <v>0.46961325966850831</v>
      </c>
      <c r="Q16" s="167">
        <f>SUM(Q10/Q$12)</f>
        <v>0.48403614457831323</v>
      </c>
      <c r="R16" s="167">
        <f>SUM(R10/R$12)</f>
        <v>0.4820469324286118</v>
      </c>
      <c r="S16" s="167">
        <f>SUM(S10/S$12)</f>
        <v>0.47893054344667246</v>
      </c>
      <c r="T16" s="167">
        <f>SUM(T10/T$12)</f>
        <v>0.47878456063509445</v>
      </c>
      <c r="U16" s="167">
        <f>SUM(U10/U$12)</f>
        <v>0.4993327995729917</v>
      </c>
      <c r="V16" s="167">
        <f>SUM(V10/V$12)</f>
        <v>0.51097804391217561</v>
      </c>
      <c r="W16" s="167">
        <f>SUM(W10/W$12)</f>
        <v>0.52104747919725891</v>
      </c>
      <c r="X16" s="167">
        <f>SUM(X10/X$12)</f>
        <v>0.52241183162684868</v>
      </c>
      <c r="Y16" s="167">
        <f>SUM(Y10/Y$12)</f>
        <v>0.53881987577639756</v>
      </c>
      <c r="Z16" s="167">
        <f>SUM(Z10/Z$12)</f>
        <v>0.54042466312780724</v>
      </c>
      <c r="AA16" s="167">
        <f>SUM(AA10/AA$12)</f>
        <v>0.5388696184452153</v>
      </c>
      <c r="AB16" s="168"/>
      <c r="AC16" s="169">
        <f t="shared" ref="AC16" si="34">T16</f>
        <v>0.47878456063509445</v>
      </c>
      <c r="AD16" s="169">
        <f t="shared" ref="AD16" si="35">U16</f>
        <v>0.4993327995729917</v>
      </c>
      <c r="AE16" s="169">
        <f t="shared" ref="AE16" si="36">V16</f>
        <v>0.51097804391217561</v>
      </c>
      <c r="AF16" s="169">
        <f t="shared" ref="AF16" si="37">W16</f>
        <v>0.52104747919725891</v>
      </c>
      <c r="AG16" s="169">
        <f t="shared" ref="AG16" si="38">X16</f>
        <v>0.52241183162684868</v>
      </c>
      <c r="AH16" s="169">
        <f t="shared" ref="AH16" si="39">Y16</f>
        <v>0.53881987577639756</v>
      </c>
      <c r="AI16" s="169">
        <f t="shared" ref="AI16" si="40">Z16</f>
        <v>0.54042466312780724</v>
      </c>
      <c r="AJ16" s="170">
        <f t="shared" ref="AJ16" si="41">AA16</f>
        <v>0.5388696184452153</v>
      </c>
    </row>
    <row r="17" spans="1:36" ht="12.75" customHeight="1">
      <c r="B17" s="157" t="str">
        <f>B11&amp;"(%)"</f>
        <v>Peripheral Interventions(%)</v>
      </c>
      <c r="C17" s="158">
        <f t="shared" ref="C17:D17" si="42">SUM(C11/C$12)</f>
        <v>0.15908403107031172</v>
      </c>
      <c r="D17" s="158">
        <f t="shared" si="42"/>
        <v>0.15326315789473685</v>
      </c>
      <c r="E17" s="158">
        <f>SUM(E11/E$12)</f>
        <v>0.1490346884319573</v>
      </c>
      <c r="F17" s="158">
        <f>SUM(F11/F$12)</f>
        <v>0.14810393258426965</v>
      </c>
      <c r="G17" s="158">
        <f>SUM(G11/G$12)</f>
        <v>0.14390637129038036</v>
      </c>
      <c r="H17" s="159"/>
      <c r="I17" s="158">
        <f t="shared" ref="I17:J17" si="43">SUM(I11/I$12)</f>
        <v>0.15808689302665208</v>
      </c>
      <c r="J17" s="158">
        <f t="shared" si="43"/>
        <v>0.14257490945011525</v>
      </c>
      <c r="K17" s="158">
        <f t="shared" ref="K17:Q17" si="44">SUM(K11/K$12)</f>
        <v>0.14864400961208377</v>
      </c>
      <c r="L17" s="158">
        <f t="shared" si="44"/>
        <v>0.13976759199483538</v>
      </c>
      <c r="M17" s="158">
        <f t="shared" si="44"/>
        <v>0.14462257849031396</v>
      </c>
      <c r="N17" s="158">
        <f t="shared" si="44"/>
        <v>0.13535479837449202</v>
      </c>
      <c r="O17" s="158">
        <f t="shared" si="44"/>
        <v>0.1386043533930858</v>
      </c>
      <c r="P17" s="158">
        <f t="shared" si="44"/>
        <v>0.13290362185389809</v>
      </c>
      <c r="Q17" s="158">
        <f>SUM(Q11/Q$12)</f>
        <v>0.13042168674698795</v>
      </c>
      <c r="R17" s="158">
        <f>SUM(R11/R$12)</f>
        <v>0.13372914899632457</v>
      </c>
      <c r="S17" s="158">
        <f>SUM(S11/S$12)</f>
        <v>0.13135716361522815</v>
      </c>
      <c r="T17" s="158">
        <f>SUM(T11/T$12)</f>
        <v>0.12647139337530797</v>
      </c>
      <c r="U17" s="158">
        <f>SUM(U11/U$12)</f>
        <v>0.12409927942353884</v>
      </c>
      <c r="V17" s="158">
        <f>SUM(V11/V$12)</f>
        <v>0.11926147704590818</v>
      </c>
      <c r="W17" s="158">
        <f>SUM(W11/W$12)</f>
        <v>0.11722956436612825</v>
      </c>
      <c r="X17" s="158">
        <f>SUM(X11/X$12)</f>
        <v>0.10853242320819112</v>
      </c>
      <c r="Y17" s="158">
        <f>SUM(Y11/Y$12)</f>
        <v>0.11135758651286602</v>
      </c>
      <c r="Z17" s="158">
        <f>SUM(Z11/Z$12)</f>
        <v>0.10922825643119641</v>
      </c>
      <c r="AA17" s="158">
        <f>SUM(AA11/AA$12)</f>
        <v>0.10977351560905937</v>
      </c>
      <c r="AB17" s="159"/>
      <c r="AC17" s="160">
        <f t="shared" si="23"/>
        <v>0.12647139337530797</v>
      </c>
      <c r="AD17" s="160">
        <f t="shared" si="24"/>
        <v>0.12409927942353884</v>
      </c>
      <c r="AE17" s="160">
        <f t="shared" si="25"/>
        <v>0.11926147704590818</v>
      </c>
      <c r="AF17" s="160">
        <f t="shared" si="26"/>
        <v>0.11722956436612825</v>
      </c>
      <c r="AG17" s="160">
        <f t="shared" si="27"/>
        <v>0.10853242320819112</v>
      </c>
      <c r="AH17" s="160">
        <f t="shared" si="28"/>
        <v>0.11135758651286602</v>
      </c>
      <c r="AI17" s="160">
        <f t="shared" si="29"/>
        <v>0.10922825643119641</v>
      </c>
      <c r="AJ17" s="161">
        <f t="shared" si="30"/>
        <v>0.10977351560905937</v>
      </c>
    </row>
    <row r="18" spans="1:36">
      <c r="B18" s="18"/>
      <c r="C18" s="19"/>
      <c r="D18" s="19"/>
      <c r="E18" s="19"/>
      <c r="F18" s="19"/>
      <c r="G18" s="19"/>
      <c r="H18" s="20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2"/>
      <c r="U18" s="21"/>
      <c r="V18" s="21"/>
      <c r="W18" s="21"/>
      <c r="X18" s="21"/>
      <c r="Y18" s="21"/>
      <c r="Z18" s="21"/>
      <c r="AA18" s="21"/>
      <c r="AB18" s="20"/>
      <c r="AC18" s="20"/>
      <c r="AD18" s="20"/>
      <c r="AE18" s="20"/>
      <c r="AF18" s="20"/>
      <c r="AG18" s="20"/>
      <c r="AH18" s="20"/>
      <c r="AI18" s="20"/>
      <c r="AJ18" s="20"/>
    </row>
    <row r="19" spans="1:36" ht="12.75" customHeight="1">
      <c r="A19" s="80" t="s">
        <v>16</v>
      </c>
      <c r="B19" s="78" t="s">
        <v>192</v>
      </c>
      <c r="C19" s="10"/>
      <c r="D19" s="10"/>
      <c r="E19" s="10"/>
      <c r="F19" s="10"/>
      <c r="G19" s="10"/>
      <c r="H19" s="10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32"/>
      <c r="U19" s="95"/>
      <c r="V19" s="95"/>
      <c r="W19" s="95"/>
      <c r="X19" s="32"/>
      <c r="Y19" s="95"/>
      <c r="Z19" s="95"/>
      <c r="AA19" s="95"/>
      <c r="AB19" s="5"/>
      <c r="AC19" s="11"/>
      <c r="AD19" s="11"/>
      <c r="AE19" s="11"/>
      <c r="AF19" s="11"/>
      <c r="AG19" s="11"/>
      <c r="AH19" s="11"/>
      <c r="AI19" s="11"/>
      <c r="AJ19" s="11"/>
    </row>
    <row r="20" spans="1:36" ht="12.75" customHeight="1">
      <c r="A20" s="80"/>
      <c r="B20" s="9" t="s">
        <v>185</v>
      </c>
      <c r="C20" s="81">
        <v>1780</v>
      </c>
      <c r="D20" s="81">
        <v>2141</v>
      </c>
      <c r="E20" s="81">
        <v>2221</v>
      </c>
      <c r="F20" s="81">
        <v>2482</v>
      </c>
      <c r="G20" s="81">
        <v>2687</v>
      </c>
      <c r="H20" s="10"/>
      <c r="I20" s="95">
        <v>499</v>
      </c>
      <c r="J20" s="95">
        <v>551</v>
      </c>
      <c r="K20" s="95">
        <v>533</v>
      </c>
      <c r="L20" s="24">
        <v>558</v>
      </c>
      <c r="M20" s="95">
        <v>532</v>
      </c>
      <c r="N20" s="95">
        <v>561</v>
      </c>
      <c r="O20" s="95">
        <v>559</v>
      </c>
      <c r="P20" s="24">
        <v>569</v>
      </c>
      <c r="Q20" s="95">
        <v>577</v>
      </c>
      <c r="R20" s="95">
        <v>630</v>
      </c>
      <c r="S20" s="95">
        <v>629</v>
      </c>
      <c r="T20" s="32">
        <v>646</v>
      </c>
      <c r="U20" s="95">
        <v>642</v>
      </c>
      <c r="V20" s="95">
        <v>675</v>
      </c>
      <c r="W20" s="95">
        <v>678</v>
      </c>
      <c r="X20" s="32">
        <v>692</v>
      </c>
      <c r="Y20" s="82">
        <v>673</v>
      </c>
      <c r="Z20" s="82">
        <v>737</v>
      </c>
      <c r="AA20" s="81">
        <v>747</v>
      </c>
      <c r="AB20" s="5"/>
      <c r="AC20" s="32">
        <f t="shared" ref="AC20:AC22" si="45">SUM(Q20:T20)</f>
        <v>2482</v>
      </c>
      <c r="AD20" s="32">
        <f t="shared" ref="AD20:AD22" si="46">SUM(R20:U20)</f>
        <v>2547</v>
      </c>
      <c r="AE20" s="32">
        <f t="shared" ref="AE20:AE22" si="47">SUM(S20:V20)</f>
        <v>2592</v>
      </c>
      <c r="AF20" s="32">
        <f t="shared" ref="AF20:AF22" si="48">SUM(T20:W20)</f>
        <v>2641</v>
      </c>
      <c r="AG20" s="32">
        <f t="shared" ref="AG20:AG22" si="49">SUM(U20:X20)</f>
        <v>2687</v>
      </c>
      <c r="AH20" s="32">
        <f t="shared" ref="AH20:AH22" si="50">SUM(V20:Y20)</f>
        <v>2718</v>
      </c>
      <c r="AI20" s="32">
        <f t="shared" ref="AI20:AI22" si="51">SUM(W20:Z20)</f>
        <v>2780</v>
      </c>
      <c r="AJ20" s="32">
        <f t="shared" ref="AJ20:AJ22" si="52">SUM(X20:AA20)</f>
        <v>2849</v>
      </c>
    </row>
    <row r="21" spans="1:36" ht="12.75" customHeight="1">
      <c r="A21" s="80"/>
      <c r="B21" s="9" t="s">
        <v>186</v>
      </c>
      <c r="C21" s="81">
        <v>1286</v>
      </c>
      <c r="D21" s="81">
        <v>1583</v>
      </c>
      <c r="E21" s="81">
        <v>1773</v>
      </c>
      <c r="F21" s="81">
        <v>1964</v>
      </c>
      <c r="G21" s="81">
        <v>2200</v>
      </c>
      <c r="H21" s="10"/>
      <c r="I21" s="95">
        <v>361</v>
      </c>
      <c r="J21" s="95">
        <v>397</v>
      </c>
      <c r="K21" s="95">
        <v>384</v>
      </c>
      <c r="L21" s="24">
        <v>441</v>
      </c>
      <c r="M21" s="95">
        <v>413</v>
      </c>
      <c r="N21" s="95">
        <v>450</v>
      </c>
      <c r="O21" s="95">
        <v>433</v>
      </c>
      <c r="P21" s="24">
        <v>477</v>
      </c>
      <c r="Q21" s="95">
        <v>469</v>
      </c>
      <c r="R21" s="95">
        <v>485</v>
      </c>
      <c r="S21" s="95">
        <v>483</v>
      </c>
      <c r="T21" s="32">
        <v>527</v>
      </c>
      <c r="U21" s="95">
        <v>513</v>
      </c>
      <c r="V21" s="95">
        <v>525</v>
      </c>
      <c r="W21" s="95">
        <v>532</v>
      </c>
      <c r="X21" s="32">
        <v>630</v>
      </c>
      <c r="Y21" s="82">
        <v>633</v>
      </c>
      <c r="Z21" s="82">
        <v>676</v>
      </c>
      <c r="AA21" s="81">
        <v>682</v>
      </c>
      <c r="AB21" s="5"/>
      <c r="AC21" s="32">
        <f t="shared" si="45"/>
        <v>1964</v>
      </c>
      <c r="AD21" s="32">
        <f t="shared" si="46"/>
        <v>2008</v>
      </c>
      <c r="AE21" s="32">
        <f t="shared" si="47"/>
        <v>2048</v>
      </c>
      <c r="AF21" s="32">
        <f t="shared" si="48"/>
        <v>2097</v>
      </c>
      <c r="AG21" s="32">
        <f t="shared" si="49"/>
        <v>2200</v>
      </c>
      <c r="AH21" s="32">
        <f t="shared" si="50"/>
        <v>2320</v>
      </c>
      <c r="AI21" s="32">
        <f t="shared" si="51"/>
        <v>2471</v>
      </c>
      <c r="AJ21" s="32">
        <f t="shared" si="52"/>
        <v>2621</v>
      </c>
    </row>
    <row r="22" spans="1:36">
      <c r="B22" s="9" t="s">
        <v>177</v>
      </c>
      <c r="C22" s="81">
        <v>761</v>
      </c>
      <c r="D22" s="81">
        <v>909</v>
      </c>
      <c r="E22" s="81">
        <v>917</v>
      </c>
      <c r="F22" s="81">
        <v>976</v>
      </c>
      <c r="G22" s="81">
        <v>1106</v>
      </c>
      <c r="H22" s="81"/>
      <c r="I22" s="95">
        <v>198</v>
      </c>
      <c r="J22" s="95">
        <v>247</v>
      </c>
      <c r="K22" s="95">
        <v>221</v>
      </c>
      <c r="L22" s="24">
        <v>243</v>
      </c>
      <c r="M22" s="95">
        <v>209</v>
      </c>
      <c r="N22" s="95">
        <v>238</v>
      </c>
      <c r="O22" s="95">
        <v>221</v>
      </c>
      <c r="P22" s="24">
        <v>249</v>
      </c>
      <c r="Q22" s="95">
        <v>234</v>
      </c>
      <c r="R22" s="95">
        <v>244</v>
      </c>
      <c r="S22" s="95">
        <v>229</v>
      </c>
      <c r="T22" s="32">
        <v>269</v>
      </c>
      <c r="U22" s="95">
        <v>256</v>
      </c>
      <c r="V22" s="95">
        <v>282</v>
      </c>
      <c r="W22" s="95">
        <v>268</v>
      </c>
      <c r="X22" s="32">
        <v>300</v>
      </c>
      <c r="Y22" s="82">
        <v>271</v>
      </c>
      <c r="Z22" s="82">
        <v>303</v>
      </c>
      <c r="AA22" s="81">
        <v>293</v>
      </c>
      <c r="AB22" s="5"/>
      <c r="AC22" s="32">
        <f t="shared" si="45"/>
        <v>976</v>
      </c>
      <c r="AD22" s="32">
        <f t="shared" si="46"/>
        <v>998</v>
      </c>
      <c r="AE22" s="32">
        <f t="shared" si="47"/>
        <v>1036</v>
      </c>
      <c r="AF22" s="32">
        <f t="shared" si="48"/>
        <v>1075</v>
      </c>
      <c r="AG22" s="32">
        <f t="shared" si="49"/>
        <v>1106</v>
      </c>
      <c r="AH22" s="32">
        <f t="shared" si="50"/>
        <v>1121</v>
      </c>
      <c r="AI22" s="32">
        <f t="shared" si="51"/>
        <v>1142</v>
      </c>
      <c r="AJ22" s="32">
        <f t="shared" si="52"/>
        <v>1167</v>
      </c>
    </row>
    <row r="23" spans="1:36">
      <c r="B23" s="13" t="s">
        <v>187</v>
      </c>
      <c r="C23" s="14">
        <f>SUM(C20:C22)</f>
        <v>3827</v>
      </c>
      <c r="D23" s="14">
        <f>SUM(D20:D22)</f>
        <v>4633</v>
      </c>
      <c r="E23" s="14">
        <f>SUM(E20:E22)</f>
        <v>4911</v>
      </c>
      <c r="F23" s="14">
        <f>SUM(F20:F22)</f>
        <v>5422</v>
      </c>
      <c r="G23" s="14">
        <f>SUM(G20:G22)</f>
        <v>5993</v>
      </c>
      <c r="H23" s="11"/>
      <c r="I23" s="14">
        <f t="shared" ref="I23" si="53">SUM(I20:I22)</f>
        <v>1058</v>
      </c>
      <c r="J23" s="14">
        <f t="shared" ref="J23" si="54">SUM(J20:J22)</f>
        <v>1195</v>
      </c>
      <c r="K23" s="14">
        <f t="shared" ref="K23:P23" si="55">SUM(K20:K22)</f>
        <v>1138</v>
      </c>
      <c r="L23" s="14">
        <f t="shared" si="55"/>
        <v>1242</v>
      </c>
      <c r="M23" s="14">
        <f t="shared" si="55"/>
        <v>1154</v>
      </c>
      <c r="N23" s="14">
        <f t="shared" si="55"/>
        <v>1249</v>
      </c>
      <c r="O23" s="14">
        <f t="shared" si="55"/>
        <v>1213</v>
      </c>
      <c r="P23" s="14">
        <f t="shared" si="55"/>
        <v>1295</v>
      </c>
      <c r="Q23" s="14">
        <f>SUM(Q20:Q22)</f>
        <v>1280</v>
      </c>
      <c r="R23" s="14">
        <f>SUM(R20:R22)</f>
        <v>1359</v>
      </c>
      <c r="S23" s="14">
        <f>SUM(S20:S22)</f>
        <v>1341</v>
      </c>
      <c r="T23" s="14">
        <f>SUM(T20:T22)</f>
        <v>1442</v>
      </c>
      <c r="U23" s="14">
        <f>SUM(U20:U22)</f>
        <v>1411</v>
      </c>
      <c r="V23" s="14">
        <f>SUM(V20:V22)</f>
        <v>1482</v>
      </c>
      <c r="W23" s="14">
        <f>SUM(W20:W22)</f>
        <v>1478</v>
      </c>
      <c r="X23" s="14">
        <f>SUM(X20:X22)</f>
        <v>1622</v>
      </c>
      <c r="Y23" s="14">
        <f>SUM(Y20:Y22)</f>
        <v>1577</v>
      </c>
      <c r="Z23" s="14">
        <f>SUM(Z20:Z22)</f>
        <v>1716</v>
      </c>
      <c r="AA23" s="14">
        <f>SUM(AA20:AA22)</f>
        <v>1722</v>
      </c>
      <c r="AB23" s="5"/>
      <c r="AC23" s="14">
        <f>SUM(AC20:AC22)</f>
        <v>5422</v>
      </c>
      <c r="AD23" s="14">
        <f>SUM(AD20:AD22)</f>
        <v>5553</v>
      </c>
      <c r="AE23" s="14">
        <f>SUM(AE20:AE22)</f>
        <v>5676</v>
      </c>
      <c r="AF23" s="14">
        <f>SUM(AF20:AF22)</f>
        <v>5813</v>
      </c>
      <c r="AG23" s="14">
        <f>SUM(AG20:AG22)</f>
        <v>5993</v>
      </c>
      <c r="AH23" s="14">
        <f>SUM(AH20:AH22)</f>
        <v>6159</v>
      </c>
      <c r="AI23" s="14">
        <f>SUM(AI20:AI22)</f>
        <v>6393</v>
      </c>
      <c r="AJ23" s="14">
        <f>SUM(AJ20:AJ22)</f>
        <v>6637</v>
      </c>
    </row>
    <row r="24" spans="1:36">
      <c r="B24" s="18"/>
      <c r="C24" s="19"/>
      <c r="D24" s="19"/>
      <c r="E24" s="19"/>
      <c r="F24" s="19"/>
      <c r="G24" s="19"/>
      <c r="H24" s="20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2"/>
      <c r="U24" s="21"/>
      <c r="V24" s="21"/>
      <c r="W24" s="21"/>
      <c r="X24" s="21"/>
      <c r="Y24" s="21"/>
      <c r="Z24" s="21"/>
      <c r="AA24" s="21"/>
      <c r="AB24" s="20"/>
      <c r="AC24" s="20"/>
      <c r="AD24" s="20"/>
      <c r="AE24" s="20"/>
      <c r="AF24" s="20"/>
      <c r="AG24" s="20"/>
      <c r="AH24" s="20"/>
      <c r="AI24" s="20"/>
      <c r="AJ24" s="20"/>
    </row>
    <row r="25" spans="1:36">
      <c r="B25" s="152" t="str">
        <f>B20&amp;"(%)"</f>
        <v>Endoscopy(%)</v>
      </c>
      <c r="C25" s="153">
        <f>SUM(C20/C$12)</f>
        <v>0.1795621910622415</v>
      </c>
      <c r="D25" s="153">
        <f>SUM(D20/D$12)</f>
        <v>0.18029473684210526</v>
      </c>
      <c r="E25" s="153">
        <f>SUM(E20/E$12)</f>
        <v>0.17430544655470098</v>
      </c>
      <c r="F25" s="153">
        <f>SUM(F20/F$12)</f>
        <v>0.17429775280898877</v>
      </c>
      <c r="G25" s="153">
        <f>SUM(G20/G$12)</f>
        <v>0.16044664716068549</v>
      </c>
      <c r="H25" s="154"/>
      <c r="I25" s="153">
        <f t="shared" ref="I25:J25" si="56">SUM(I20/I$12)</f>
        <v>0.18218327856882074</v>
      </c>
      <c r="J25" s="153">
        <f t="shared" si="56"/>
        <v>0.18142904181758315</v>
      </c>
      <c r="K25" s="153">
        <f t="shared" ref="K25:Q25" si="57">SUM(K20/K$12)</f>
        <v>0.18297288019224167</v>
      </c>
      <c r="L25" s="153">
        <f t="shared" si="57"/>
        <v>0.1801162040025823</v>
      </c>
      <c r="M25" s="153">
        <f t="shared" si="57"/>
        <v>0.17768871075484302</v>
      </c>
      <c r="N25" s="153">
        <f t="shared" si="57"/>
        <v>0.17536730228196312</v>
      </c>
      <c r="O25" s="153">
        <f t="shared" si="57"/>
        <v>0.17893725992317541</v>
      </c>
      <c r="P25" s="153">
        <f t="shared" si="57"/>
        <v>0.17464702271332105</v>
      </c>
      <c r="Q25" s="153">
        <f>SUM(Q20/Q$12)</f>
        <v>0.17379518072289157</v>
      </c>
      <c r="R25" s="153">
        <f>SUM(R20/R$12)</f>
        <v>0.17811704834605599</v>
      </c>
      <c r="S25" s="153">
        <f>SUM(S20/S$12)</f>
        <v>0.18279569892473119</v>
      </c>
      <c r="T25" s="153">
        <f>SUM(T20/T$12)</f>
        <v>0.17684095264166438</v>
      </c>
      <c r="U25" s="153">
        <f>SUM(U20/U$12)</f>
        <v>0.17133706965572457</v>
      </c>
      <c r="V25" s="153">
        <f>SUM(V20/V$12)</f>
        <v>0.16841317365269462</v>
      </c>
      <c r="W25" s="153">
        <f>SUM(W20/W$12)</f>
        <v>0.16593245227606462</v>
      </c>
      <c r="X25" s="153">
        <f>SUM(X20/X$12)</f>
        <v>0.15745164960182026</v>
      </c>
      <c r="Y25" s="153">
        <f>SUM(Y20/Y$12)</f>
        <v>0.14929015084294586</v>
      </c>
      <c r="Z25" s="153">
        <f>SUM(Z20/Z$12)</f>
        <v>0.1504695794201715</v>
      </c>
      <c r="AA25" s="153">
        <f>SUM(AA20/AA$12)</f>
        <v>0.15241787390328504</v>
      </c>
      <c r="AB25" s="154"/>
      <c r="AC25" s="155">
        <f t="shared" ref="AC25:AC27" si="58">T25</f>
        <v>0.17684095264166438</v>
      </c>
      <c r="AD25" s="155">
        <f t="shared" ref="AD25:AD27" si="59">U25</f>
        <v>0.17133706965572457</v>
      </c>
      <c r="AE25" s="155">
        <f t="shared" ref="AE25:AE27" si="60">V25</f>
        <v>0.16841317365269462</v>
      </c>
      <c r="AF25" s="155">
        <f t="shared" ref="AF25:AF27" si="61">W25</f>
        <v>0.16593245227606462</v>
      </c>
      <c r="AG25" s="155">
        <f t="shared" ref="AG25:AG27" si="62">X25</f>
        <v>0.15745164960182026</v>
      </c>
      <c r="AH25" s="155">
        <f t="shared" ref="AH25:AH27" si="63">Y25</f>
        <v>0.14929015084294586</v>
      </c>
      <c r="AI25" s="155">
        <f t="shared" ref="AI25:AI27" si="64">Z25</f>
        <v>0.1504695794201715</v>
      </c>
      <c r="AJ25" s="156">
        <f t="shared" ref="AJ25:AJ27" si="65">AA25</f>
        <v>0.15241787390328504</v>
      </c>
    </row>
    <row r="26" spans="1:36">
      <c r="B26" s="166" t="str">
        <f>B21&amp;"(%)"</f>
        <v>Urology(%)</v>
      </c>
      <c r="C26" s="167">
        <f>SUM(C21/C$12)</f>
        <v>0.12972863916069807</v>
      </c>
      <c r="D26" s="167">
        <f>SUM(D21/D$12)</f>
        <v>0.13330526315789473</v>
      </c>
      <c r="E26" s="167">
        <f>SUM(E21/E$12)</f>
        <v>0.1391461309056663</v>
      </c>
      <c r="F26" s="167">
        <f>SUM(F21/F$12)</f>
        <v>0.13792134831460673</v>
      </c>
      <c r="G26" s="167">
        <f>SUM(G21/G$12)</f>
        <v>0.13136681196632233</v>
      </c>
      <c r="H26" s="168"/>
      <c r="I26" s="167">
        <f t="shared" ref="I26:J26" si="66">SUM(I21/I$12)</f>
        <v>0.13179992698064988</v>
      </c>
      <c r="J26" s="167">
        <f t="shared" si="66"/>
        <v>0.13072110635495554</v>
      </c>
      <c r="K26" s="167">
        <f t="shared" ref="K26:Q26" si="67">SUM(K21/K$12)</f>
        <v>0.13182286302780638</v>
      </c>
      <c r="L26" s="167">
        <f t="shared" si="67"/>
        <v>0.14234990316333118</v>
      </c>
      <c r="M26" s="167">
        <f t="shared" si="67"/>
        <v>0.13794255177020709</v>
      </c>
      <c r="N26" s="167">
        <f t="shared" si="67"/>
        <v>0.14066895904970303</v>
      </c>
      <c r="O26" s="167">
        <f t="shared" si="67"/>
        <v>0.1386043533930858</v>
      </c>
      <c r="P26" s="167">
        <f t="shared" si="67"/>
        <v>0.14640883977900551</v>
      </c>
      <c r="Q26" s="167">
        <f>SUM(Q21/Q$12)</f>
        <v>0.14126506024096386</v>
      </c>
      <c r="R26" s="167">
        <f>SUM(R21/R$12)</f>
        <v>0.13712185467910659</v>
      </c>
      <c r="S26" s="167">
        <f>SUM(S21/S$12)</f>
        <v>0.14036617262423715</v>
      </c>
      <c r="T26" s="167">
        <f>SUM(T21/T$12)</f>
        <v>0.14426498768135779</v>
      </c>
      <c r="U26" s="167">
        <f>SUM(U21/U$12)</f>
        <v>0.13690952762209768</v>
      </c>
      <c r="V26" s="167">
        <f>SUM(V21/V$12)</f>
        <v>0.1309880239520958</v>
      </c>
      <c r="W26" s="167">
        <f>SUM(W21/W$12)</f>
        <v>0.13020068526676457</v>
      </c>
      <c r="X26" s="167">
        <f>SUM(X21/X$12)</f>
        <v>0.14334470989761092</v>
      </c>
      <c r="Y26" s="167">
        <f>SUM(Y21/Y$12)</f>
        <v>0.14041703637976929</v>
      </c>
      <c r="Z26" s="167">
        <f>SUM(Z21/Z$12)</f>
        <v>0.13801551653736219</v>
      </c>
      <c r="AA26" s="167">
        <f>SUM(AA21/AA$12)</f>
        <v>0.13915527443378903</v>
      </c>
      <c r="AB26" s="168"/>
      <c r="AC26" s="169">
        <f t="shared" ref="AC26" si="68">T26</f>
        <v>0.14426498768135779</v>
      </c>
      <c r="AD26" s="169">
        <f t="shared" ref="AD26" si="69">U26</f>
        <v>0.13690952762209768</v>
      </c>
      <c r="AE26" s="169">
        <f t="shared" ref="AE26" si="70">V26</f>
        <v>0.1309880239520958</v>
      </c>
      <c r="AF26" s="169">
        <f t="shared" ref="AF26" si="71">W26</f>
        <v>0.13020068526676457</v>
      </c>
      <c r="AG26" s="169">
        <f t="shared" ref="AG26" si="72">X26</f>
        <v>0.14334470989761092</v>
      </c>
      <c r="AH26" s="169">
        <f t="shared" ref="AH26" si="73">Y26</f>
        <v>0.14041703637976929</v>
      </c>
      <c r="AI26" s="169">
        <f t="shared" ref="AI26" si="74">Z26</f>
        <v>0.13801551653736219</v>
      </c>
      <c r="AJ26" s="170">
        <f t="shared" ref="AJ26" si="75">AA26</f>
        <v>0.13915527443378903</v>
      </c>
    </row>
    <row r="27" spans="1:36" ht="12.75" customHeight="1">
      <c r="B27" s="157" t="str">
        <f>B22&amp;"(%)"</f>
        <v>Neuromodulation(%)</v>
      </c>
      <c r="C27" s="158">
        <f>SUM(C22/C$12)</f>
        <v>7.6767880560879659E-2</v>
      </c>
      <c r="D27" s="158">
        <f>SUM(D22/D$12)</f>
        <v>7.6547368421052628E-2</v>
      </c>
      <c r="E27" s="158">
        <f>SUM(E22/E$12)</f>
        <v>7.1966724219117872E-2</v>
      </c>
      <c r="F27" s="158">
        <f>SUM(F22/F$12)</f>
        <v>6.8539325842696633E-2</v>
      </c>
      <c r="G27" s="158">
        <f>SUM(G22/G$12)</f>
        <v>6.6041679106705678E-2</v>
      </c>
      <c r="H27" s="159"/>
      <c r="I27" s="158">
        <f t="shared" ref="I27:J27" si="76">SUM(I22/I$12)</f>
        <v>7.2289156626506021E-2</v>
      </c>
      <c r="J27" s="158">
        <f t="shared" si="76"/>
        <v>8.1330260125123482E-2</v>
      </c>
      <c r="K27" s="158">
        <f t="shared" ref="K27:Q27" si="77">SUM(K22/K$12)</f>
        <v>7.5866803982148984E-2</v>
      </c>
      <c r="L27" s="158">
        <f t="shared" si="77"/>
        <v>7.8437701743060043E-2</v>
      </c>
      <c r="M27" s="158">
        <f t="shared" si="77"/>
        <v>6.9806279225116896E-2</v>
      </c>
      <c r="N27" s="158">
        <f t="shared" si="77"/>
        <v>7.4398249452954049E-2</v>
      </c>
      <c r="O27" s="158">
        <f t="shared" si="77"/>
        <v>7.0742637644046091E-2</v>
      </c>
      <c r="P27" s="158">
        <f t="shared" si="77"/>
        <v>7.6427255985267034E-2</v>
      </c>
      <c r="Q27" s="158">
        <f>SUM(Q22/Q$12)</f>
        <v>7.048192771084337E-2</v>
      </c>
      <c r="R27" s="158">
        <f>SUM(R22/R$12)</f>
        <v>6.8985015549901052E-2</v>
      </c>
      <c r="S27" s="158">
        <f>SUM(S22/S$12)</f>
        <v>6.6550421389131073E-2</v>
      </c>
      <c r="T27" s="158">
        <f>SUM(T22/T$12)</f>
        <v>7.3638105666575415E-2</v>
      </c>
      <c r="U27" s="158">
        <f>SUM(U22/U$12)</f>
        <v>6.8321323725647184E-2</v>
      </c>
      <c r="V27" s="158">
        <f>SUM(V22/V$12)</f>
        <v>7.0359281437125748E-2</v>
      </c>
      <c r="W27" s="158">
        <f>SUM(W22/W$12)</f>
        <v>6.5589818893783652E-2</v>
      </c>
      <c r="X27" s="158">
        <f>SUM(X22/X$12)</f>
        <v>6.8259385665529013E-2</v>
      </c>
      <c r="Y27" s="158">
        <f>SUM(Y22/Y$12)</f>
        <v>6.0115350488021295E-2</v>
      </c>
      <c r="Z27" s="158">
        <f>SUM(Z22/Z$12)</f>
        <v>6.186198448346264E-2</v>
      </c>
      <c r="AA27" s="158">
        <f>SUM(AA22/AA$12)</f>
        <v>5.9783717608651296E-2</v>
      </c>
      <c r="AB27" s="159"/>
      <c r="AC27" s="160">
        <f t="shared" si="58"/>
        <v>7.3638105666575415E-2</v>
      </c>
      <c r="AD27" s="160">
        <f t="shared" si="59"/>
        <v>6.8321323725647184E-2</v>
      </c>
      <c r="AE27" s="160">
        <f t="shared" si="60"/>
        <v>7.0359281437125748E-2</v>
      </c>
      <c r="AF27" s="160">
        <f t="shared" si="61"/>
        <v>6.5589818893783652E-2</v>
      </c>
      <c r="AG27" s="160">
        <f t="shared" si="62"/>
        <v>6.8259385665529013E-2</v>
      </c>
      <c r="AH27" s="160">
        <f t="shared" si="63"/>
        <v>6.0115350488021295E-2</v>
      </c>
      <c r="AI27" s="160">
        <f t="shared" si="64"/>
        <v>6.186198448346264E-2</v>
      </c>
      <c r="AJ27" s="161">
        <f t="shared" si="65"/>
        <v>5.9783717608651296E-2</v>
      </c>
    </row>
    <row r="29" spans="1:36" ht="12.75" customHeight="1">
      <c r="A29" s="80" t="s">
        <v>16</v>
      </c>
      <c r="B29" s="78" t="s">
        <v>191</v>
      </c>
      <c r="C29" s="10"/>
      <c r="D29" s="10"/>
      <c r="E29" s="10"/>
      <c r="F29" s="10"/>
      <c r="G29" s="10"/>
      <c r="H29" s="10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32"/>
      <c r="U29" s="95"/>
      <c r="V29" s="95"/>
      <c r="W29" s="95"/>
      <c r="X29" s="32"/>
      <c r="Y29" s="95"/>
      <c r="Z29" s="95"/>
      <c r="AA29" s="95"/>
      <c r="AB29" s="5"/>
      <c r="AC29" s="11"/>
      <c r="AD29" s="11"/>
      <c r="AE29" s="11"/>
      <c r="AF29" s="11"/>
      <c r="AG29" s="11"/>
      <c r="AH29" s="11"/>
      <c r="AI29" s="11"/>
      <c r="AJ29" s="11"/>
    </row>
    <row r="30" spans="1:36" ht="12.75" customHeight="1">
      <c r="A30" s="80"/>
      <c r="B30" s="9" t="s">
        <v>188</v>
      </c>
      <c r="C30" s="81">
        <v>2299</v>
      </c>
      <c r="D30" s="81">
        <v>2209</v>
      </c>
      <c r="E30" s="81">
        <v>2228</v>
      </c>
      <c r="F30" s="81">
        <v>2417</v>
      </c>
      <c r="G30" s="81">
        <v>2645</v>
      </c>
      <c r="H30" s="10"/>
      <c r="I30" s="95">
        <v>526</v>
      </c>
      <c r="J30" s="95">
        <v>574</v>
      </c>
      <c r="K30" s="95">
        <v>534</v>
      </c>
      <c r="L30" s="24">
        <v>575</v>
      </c>
      <c r="M30" s="95">
        <v>544</v>
      </c>
      <c r="N30" s="95">
        <v>574</v>
      </c>
      <c r="O30" s="95">
        <v>549</v>
      </c>
      <c r="P30" s="24">
        <v>561</v>
      </c>
      <c r="Q30" s="95">
        <v>591</v>
      </c>
      <c r="R30" s="95">
        <v>629</v>
      </c>
      <c r="S30" s="95">
        <v>583</v>
      </c>
      <c r="T30" s="32">
        <v>614</v>
      </c>
      <c r="U30" s="95">
        <v>652</v>
      </c>
      <c r="V30" s="95">
        <v>665</v>
      </c>
      <c r="W30" s="95">
        <v>661</v>
      </c>
      <c r="X30" s="32">
        <v>667</v>
      </c>
      <c r="Y30" s="82">
        <v>697</v>
      </c>
      <c r="Z30" s="82">
        <v>731</v>
      </c>
      <c r="AA30" s="81">
        <v>686</v>
      </c>
      <c r="AB30" s="5"/>
      <c r="AC30" s="32">
        <f t="shared" ref="AC30:AC33" si="78">SUM(Q30:T30)</f>
        <v>2417</v>
      </c>
      <c r="AD30" s="32">
        <f t="shared" ref="AD30:AD33" si="79">SUM(R30:U30)</f>
        <v>2478</v>
      </c>
      <c r="AE30" s="32">
        <f t="shared" ref="AE30:AE33" si="80">SUM(S30:V30)</f>
        <v>2514</v>
      </c>
      <c r="AF30" s="32">
        <f t="shared" ref="AF30:AF33" si="81">SUM(T30:W30)</f>
        <v>2592</v>
      </c>
      <c r="AG30" s="32">
        <f t="shared" ref="AG30:AG33" si="82">SUM(U30:X30)</f>
        <v>2645</v>
      </c>
      <c r="AH30" s="32">
        <f t="shared" ref="AH30:AH33" si="83">SUM(V30:Y30)</f>
        <v>2690</v>
      </c>
      <c r="AI30" s="32">
        <f t="shared" ref="AI30:AI33" si="84">SUM(W30:Z30)</f>
        <v>2756</v>
      </c>
      <c r="AJ30" s="32">
        <f t="shared" ref="AJ30:AJ33" si="85">SUM(X30:AA30)</f>
        <v>2781</v>
      </c>
    </row>
    <row r="31" spans="1:36" ht="12.75" customHeight="1">
      <c r="A31" s="80"/>
      <c r="B31" s="9" t="s">
        <v>189</v>
      </c>
      <c r="C31" s="81">
        <v>219</v>
      </c>
      <c r="D31" s="81">
        <v>829</v>
      </c>
      <c r="E31" s="81">
        <v>1019</v>
      </c>
      <c r="F31" s="81">
        <v>1274</v>
      </c>
      <c r="G31" s="81">
        <v>1516</v>
      </c>
      <c r="H31" s="10"/>
      <c r="I31" s="95">
        <v>170</v>
      </c>
      <c r="J31" s="95">
        <v>216</v>
      </c>
      <c r="K31" s="95">
        <v>210</v>
      </c>
      <c r="L31" s="24">
        <v>233</v>
      </c>
      <c r="M31" s="95">
        <v>226</v>
      </c>
      <c r="N31" s="95">
        <v>250</v>
      </c>
      <c r="O31" s="95">
        <v>262</v>
      </c>
      <c r="P31" s="24">
        <v>281</v>
      </c>
      <c r="Q31" s="95">
        <v>291</v>
      </c>
      <c r="R31" s="95">
        <v>317</v>
      </c>
      <c r="S31" s="95">
        <v>323</v>
      </c>
      <c r="T31" s="32">
        <v>343</v>
      </c>
      <c r="U31" s="95">
        <v>344</v>
      </c>
      <c r="V31" s="95">
        <v>379</v>
      </c>
      <c r="W31" s="95">
        <v>380</v>
      </c>
      <c r="X31" s="32">
        <v>413</v>
      </c>
      <c r="Y31" s="82">
        <v>425</v>
      </c>
      <c r="Z31" s="82">
        <v>486</v>
      </c>
      <c r="AA31" s="81">
        <v>512</v>
      </c>
      <c r="AB31" s="5"/>
      <c r="AC31" s="32">
        <f t="shared" si="78"/>
        <v>1274</v>
      </c>
      <c r="AD31" s="32">
        <f t="shared" si="79"/>
        <v>1327</v>
      </c>
      <c r="AE31" s="32">
        <f t="shared" si="80"/>
        <v>1389</v>
      </c>
      <c r="AF31" s="32">
        <f t="shared" si="81"/>
        <v>1446</v>
      </c>
      <c r="AG31" s="32">
        <f t="shared" si="82"/>
        <v>1516</v>
      </c>
      <c r="AH31" s="32">
        <f t="shared" si="83"/>
        <v>1597</v>
      </c>
      <c r="AI31" s="32">
        <f t="shared" si="84"/>
        <v>1704</v>
      </c>
      <c r="AJ31" s="32">
        <f t="shared" si="85"/>
        <v>1836</v>
      </c>
    </row>
    <row r="32" spans="1:36" ht="12.75" customHeight="1">
      <c r="A32" s="80"/>
      <c r="B32" s="9" t="s">
        <v>190</v>
      </c>
      <c r="C32" s="81">
        <v>1704</v>
      </c>
      <c r="D32" s="81">
        <v>2019</v>
      </c>
      <c r="E32" s="81">
        <v>2100</v>
      </c>
      <c r="F32" s="81">
        <v>2218</v>
      </c>
      <c r="G32" s="81">
        <v>2279</v>
      </c>
      <c r="H32" s="10"/>
      <c r="I32" s="95">
        <v>469</v>
      </c>
      <c r="J32" s="95">
        <v>524</v>
      </c>
      <c r="K32" s="95">
        <v>512</v>
      </c>
      <c r="L32" s="24">
        <v>514</v>
      </c>
      <c r="M32" s="95">
        <v>519</v>
      </c>
      <c r="N32" s="95">
        <v>541</v>
      </c>
      <c r="O32" s="95">
        <v>519</v>
      </c>
      <c r="P32" s="24">
        <v>521</v>
      </c>
      <c r="Q32" s="95">
        <v>548</v>
      </c>
      <c r="R32" s="95">
        <v>566</v>
      </c>
      <c r="S32" s="95">
        <v>552</v>
      </c>
      <c r="T32" s="32">
        <v>552</v>
      </c>
      <c r="U32" s="95">
        <v>575</v>
      </c>
      <c r="V32" s="95">
        <v>576</v>
      </c>
      <c r="W32" s="95">
        <v>561</v>
      </c>
      <c r="X32" s="32">
        <v>567</v>
      </c>
      <c r="Y32" s="82">
        <v>578</v>
      </c>
      <c r="Z32" s="82">
        <v>590</v>
      </c>
      <c r="AA32" s="81">
        <v>578</v>
      </c>
      <c r="AB32" s="5"/>
      <c r="AC32" s="32">
        <f t="shared" si="78"/>
        <v>2218</v>
      </c>
      <c r="AD32" s="32">
        <f t="shared" si="79"/>
        <v>2245</v>
      </c>
      <c r="AE32" s="32">
        <f t="shared" si="80"/>
        <v>2255</v>
      </c>
      <c r="AF32" s="32">
        <f t="shared" si="81"/>
        <v>2264</v>
      </c>
      <c r="AG32" s="32">
        <f t="shared" si="82"/>
        <v>2279</v>
      </c>
      <c r="AH32" s="32">
        <f t="shared" si="83"/>
        <v>2282</v>
      </c>
      <c r="AI32" s="32">
        <f t="shared" si="84"/>
        <v>2296</v>
      </c>
      <c r="AJ32" s="32">
        <f t="shared" si="85"/>
        <v>2313</v>
      </c>
    </row>
    <row r="33" spans="1:48">
      <c r="B33" s="9" t="s">
        <v>176</v>
      </c>
      <c r="C33" s="81">
        <v>287</v>
      </c>
      <c r="D33" s="81">
        <v>365</v>
      </c>
      <c r="E33" s="81">
        <v>585</v>
      </c>
      <c r="F33" s="81">
        <v>800</v>
      </c>
      <c r="G33" s="81">
        <v>1904</v>
      </c>
      <c r="H33" s="81"/>
      <c r="I33" s="95">
        <v>83</v>
      </c>
      <c r="J33" s="95">
        <v>95</v>
      </c>
      <c r="K33" s="95">
        <v>86</v>
      </c>
      <c r="L33" s="24">
        <v>101</v>
      </c>
      <c r="M33" s="95">
        <v>118</v>
      </c>
      <c r="N33" s="95">
        <v>152</v>
      </c>
      <c r="O33" s="95">
        <v>148</v>
      </c>
      <c r="P33" s="24">
        <v>167</v>
      </c>
      <c r="Q33" s="95">
        <v>177</v>
      </c>
      <c r="R33" s="95">
        <v>193</v>
      </c>
      <c r="S33" s="95">
        <v>190</v>
      </c>
      <c r="T33" s="32">
        <v>240</v>
      </c>
      <c r="U33" s="95">
        <v>300</v>
      </c>
      <c r="V33" s="95">
        <v>428</v>
      </c>
      <c r="W33" s="95">
        <v>527</v>
      </c>
      <c r="X33" s="32">
        <v>649</v>
      </c>
      <c r="Y33" s="82">
        <v>729</v>
      </c>
      <c r="Z33" s="82">
        <v>840</v>
      </c>
      <c r="AA33" s="81">
        <v>865</v>
      </c>
      <c r="AB33" s="5"/>
      <c r="AC33" s="32">
        <f t="shared" si="78"/>
        <v>800</v>
      </c>
      <c r="AD33" s="32">
        <f t="shared" si="79"/>
        <v>923</v>
      </c>
      <c r="AE33" s="32">
        <f t="shared" si="80"/>
        <v>1158</v>
      </c>
      <c r="AF33" s="32">
        <f t="shared" si="81"/>
        <v>1495</v>
      </c>
      <c r="AG33" s="32">
        <f t="shared" si="82"/>
        <v>1904</v>
      </c>
      <c r="AH33" s="32">
        <f t="shared" si="83"/>
        <v>2333</v>
      </c>
      <c r="AI33" s="32">
        <f t="shared" si="84"/>
        <v>2745</v>
      </c>
      <c r="AJ33" s="32">
        <f t="shared" si="85"/>
        <v>3083</v>
      </c>
    </row>
    <row r="34" spans="1:48">
      <c r="B34" s="13" t="s">
        <v>193</v>
      </c>
      <c r="C34" s="14">
        <f t="shared" ref="C34" si="86">SUM(C30:C33)</f>
        <v>4509</v>
      </c>
      <c r="D34" s="14">
        <f t="shared" ref="D34" si="87">SUM(D30:D33)</f>
        <v>5422</v>
      </c>
      <c r="E34" s="14">
        <f>SUM(E30:E33)</f>
        <v>5932</v>
      </c>
      <c r="F34" s="14">
        <f>SUM(F30:F33)</f>
        <v>6709</v>
      </c>
      <c r="G34" s="14">
        <f>SUM(G30:G33)</f>
        <v>8344</v>
      </c>
      <c r="H34" s="11"/>
      <c r="I34" s="14">
        <f t="shared" ref="I34" si="88">SUM(I30:I33)</f>
        <v>1248</v>
      </c>
      <c r="J34" s="14">
        <f t="shared" ref="J34" si="89">SUM(J30:J33)</f>
        <v>1409</v>
      </c>
      <c r="K34" s="14">
        <f t="shared" ref="K34:P34" si="90">SUM(K30:K33)</f>
        <v>1342</v>
      </c>
      <c r="L34" s="14">
        <f t="shared" si="90"/>
        <v>1423</v>
      </c>
      <c r="M34" s="14">
        <f t="shared" si="90"/>
        <v>1407</v>
      </c>
      <c r="N34" s="14">
        <f t="shared" si="90"/>
        <v>1517</v>
      </c>
      <c r="O34" s="14">
        <f t="shared" si="90"/>
        <v>1478</v>
      </c>
      <c r="P34" s="14">
        <f t="shared" si="90"/>
        <v>1530</v>
      </c>
      <c r="Q34" s="14">
        <f>SUM(Q30:Q33)</f>
        <v>1607</v>
      </c>
      <c r="R34" s="14">
        <f>SUM(R30:R33)</f>
        <v>1705</v>
      </c>
      <c r="S34" s="14">
        <f>SUM(S30:S33)</f>
        <v>1648</v>
      </c>
      <c r="T34" s="14">
        <f>SUM(T30:T33)</f>
        <v>1749</v>
      </c>
      <c r="U34" s="14">
        <f>SUM(U30:U33)</f>
        <v>1871</v>
      </c>
      <c r="V34" s="14">
        <f>SUM(V30:V33)</f>
        <v>2048</v>
      </c>
      <c r="W34" s="14">
        <f>SUM(W30:W33)</f>
        <v>2129</v>
      </c>
      <c r="X34" s="14">
        <f>SUM(X30:X33)</f>
        <v>2296</v>
      </c>
      <c r="Y34" s="14">
        <f>SUM(Y30:Y33)</f>
        <v>2429</v>
      </c>
      <c r="Z34" s="14">
        <f>SUM(Z30:Z33)</f>
        <v>2647</v>
      </c>
      <c r="AA34" s="14">
        <f>SUM(AA30:AA33)</f>
        <v>2641</v>
      </c>
      <c r="AB34" s="5"/>
      <c r="AC34" s="14">
        <f>SUM(AC30:AC33)</f>
        <v>6709</v>
      </c>
      <c r="AD34" s="14">
        <f>SUM(AD30:AD33)</f>
        <v>6973</v>
      </c>
      <c r="AE34" s="14">
        <f>SUM(AE30:AE33)</f>
        <v>7316</v>
      </c>
      <c r="AF34" s="14">
        <f>SUM(AF30:AF33)</f>
        <v>7797</v>
      </c>
      <c r="AG34" s="14">
        <f>SUM(AG30:AG33)</f>
        <v>8344</v>
      </c>
      <c r="AH34" s="14">
        <f>SUM(AH30:AH33)</f>
        <v>8902</v>
      </c>
      <c r="AI34" s="14">
        <f>SUM(AI30:AI33)</f>
        <v>9501</v>
      </c>
      <c r="AJ34" s="14">
        <f>SUM(AJ30:AJ33)</f>
        <v>10013</v>
      </c>
    </row>
    <row r="35" spans="1:48">
      <c r="B35" s="18"/>
      <c r="C35" s="19"/>
      <c r="D35" s="19"/>
      <c r="E35" s="19"/>
      <c r="F35" s="19"/>
      <c r="G35" s="19"/>
      <c r="H35" s="20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2"/>
      <c r="U35" s="21"/>
      <c r="V35" s="21"/>
      <c r="W35" s="21"/>
      <c r="X35" s="21"/>
      <c r="Y35" s="21"/>
      <c r="Z35" s="21"/>
      <c r="AA35" s="21"/>
      <c r="AB35" s="20"/>
      <c r="AC35" s="20"/>
      <c r="AD35" s="20"/>
      <c r="AE35" s="20"/>
      <c r="AF35" s="20"/>
      <c r="AG35" s="20"/>
      <c r="AH35" s="20"/>
      <c r="AI35" s="20"/>
      <c r="AJ35" s="20"/>
    </row>
    <row r="36" spans="1:48">
      <c r="B36" s="152" t="str">
        <f>B30&amp;"(%)"</f>
        <v>Interventional Cardiology(%)</v>
      </c>
      <c r="C36" s="153">
        <f t="shared" ref="C36:D36" si="91">SUM(C30/C$12)</f>
        <v>0.23191768384949057</v>
      </c>
      <c r="D36" s="153">
        <f t="shared" si="91"/>
        <v>0.18602105263157895</v>
      </c>
      <c r="E36" s="153">
        <f>SUM(E30/E$12)</f>
        <v>0.17485481086171717</v>
      </c>
      <c r="F36" s="153">
        <f>SUM(F30/F$12)</f>
        <v>0.16973314606741574</v>
      </c>
      <c r="G36" s="153">
        <f>SUM(G30/G$12)</f>
        <v>0.15793873529587388</v>
      </c>
      <c r="H36" s="154"/>
      <c r="I36" s="153">
        <f t="shared" ref="I36:J36" si="92">SUM(I30/I$12)</f>
        <v>0.19204089083607156</v>
      </c>
      <c r="J36" s="153">
        <f t="shared" si="92"/>
        <v>0.18900230490615738</v>
      </c>
      <c r="K36" s="153">
        <f t="shared" ref="K36:Q36" si="93">SUM(K30/K$12)</f>
        <v>0.18331616889804325</v>
      </c>
      <c r="L36" s="153">
        <f t="shared" si="93"/>
        <v>0.1856036152356359</v>
      </c>
      <c r="M36" s="153">
        <f t="shared" si="93"/>
        <v>0.18169672678690715</v>
      </c>
      <c r="N36" s="153">
        <f t="shared" si="93"/>
        <v>0.17943107221006566</v>
      </c>
      <c r="O36" s="153">
        <f t="shared" si="93"/>
        <v>0.17573623559539053</v>
      </c>
      <c r="P36" s="153">
        <f t="shared" si="93"/>
        <v>0.17219152854511971</v>
      </c>
      <c r="Q36" s="153">
        <f>SUM(Q30/Q$12)</f>
        <v>0.17801204819277108</v>
      </c>
      <c r="R36" s="153">
        <f>SUM(R30/R$12)</f>
        <v>0.17783432287249082</v>
      </c>
      <c r="S36" s="153">
        <f>SUM(S30/S$12)</f>
        <v>0.16942749200813717</v>
      </c>
      <c r="T36" s="153">
        <f>SUM(T30/T$12)</f>
        <v>0.16808102929099369</v>
      </c>
      <c r="U36" s="153">
        <f>SUM(U30/U$12)</f>
        <v>0.17400587136375767</v>
      </c>
      <c r="V36" s="153">
        <f>SUM(V30/V$12)</f>
        <v>0.16591816367265469</v>
      </c>
      <c r="W36" s="153">
        <f>SUM(W30/W$12)</f>
        <v>0.16177190406265296</v>
      </c>
      <c r="X36" s="153">
        <f>SUM(X30/X$12)</f>
        <v>0.15176336746302616</v>
      </c>
      <c r="Y36" s="153">
        <f>SUM(Y30/Y$12)</f>
        <v>0.15461401952085183</v>
      </c>
      <c r="Z36" s="153">
        <f>SUM(Z30/Z$12)</f>
        <v>0.14924458962841977</v>
      </c>
      <c r="AA36" s="153">
        <f>SUM(AA30/AA$12)</f>
        <v>0.13997143440114262</v>
      </c>
      <c r="AB36" s="154"/>
      <c r="AC36" s="155">
        <f t="shared" ref="AC36:AC39" si="94">T36</f>
        <v>0.16808102929099369</v>
      </c>
      <c r="AD36" s="155">
        <f t="shared" ref="AD36:AD39" si="95">U36</f>
        <v>0.17400587136375767</v>
      </c>
      <c r="AE36" s="155">
        <f t="shared" ref="AE36:AE39" si="96">V36</f>
        <v>0.16591816367265469</v>
      </c>
      <c r="AF36" s="155">
        <f t="shared" ref="AF36:AF39" si="97">W36</f>
        <v>0.16177190406265296</v>
      </c>
      <c r="AG36" s="155">
        <f t="shared" ref="AG36:AG39" si="98">X36</f>
        <v>0.15176336746302616</v>
      </c>
      <c r="AH36" s="155">
        <f t="shared" ref="AH36:AH39" si="99">Y36</f>
        <v>0.15461401952085183</v>
      </c>
      <c r="AI36" s="155">
        <f t="shared" ref="AI36:AI39" si="100">Z36</f>
        <v>0.14924458962841977</v>
      </c>
      <c r="AJ36" s="156">
        <f t="shared" ref="AJ36:AJ39" si="101">AA36</f>
        <v>0.13997143440114262</v>
      </c>
    </row>
    <row r="37" spans="1:48">
      <c r="B37" s="166" t="str">
        <f>B31&amp;"(%)"</f>
        <v>Watchman(%)</v>
      </c>
      <c r="C37" s="167">
        <f t="shared" ref="C37:D37" si="102">SUM(C31/C$12)</f>
        <v>2.20922021587814E-2</v>
      </c>
      <c r="D37" s="167">
        <f t="shared" si="102"/>
        <v>6.9810526315789476E-2</v>
      </c>
      <c r="E37" s="167">
        <f>SUM(E31/E$12)</f>
        <v>7.9971746978496308E-2</v>
      </c>
      <c r="F37" s="167">
        <f>SUM(F31/F$12)</f>
        <v>8.9466292134831454E-2</v>
      </c>
      <c r="G37" s="167">
        <f>SUM(G31/G$12)</f>
        <v>9.0523675882247565E-2</v>
      </c>
      <c r="H37" s="168"/>
      <c r="I37" s="167">
        <f t="shared" ref="I37:J37" si="103">SUM(I31/I$12)</f>
        <v>6.2066447608616286E-2</v>
      </c>
      <c r="J37" s="167">
        <f t="shared" si="103"/>
        <v>7.1122818570958188E-2</v>
      </c>
      <c r="K37" s="167">
        <f t="shared" ref="K37:Q37" si="104">SUM(K31/K$12)</f>
        <v>7.209062821833162E-2</v>
      </c>
      <c r="L37" s="167">
        <f t="shared" si="104"/>
        <v>7.520981278244028E-2</v>
      </c>
      <c r="M37" s="167">
        <f t="shared" si="104"/>
        <v>7.5484301937207746E-2</v>
      </c>
      <c r="N37" s="167">
        <f t="shared" si="104"/>
        <v>7.8149421694279464E-2</v>
      </c>
      <c r="O37" s="167">
        <f t="shared" si="104"/>
        <v>8.3866837387964147E-2</v>
      </c>
      <c r="P37" s="167">
        <f t="shared" si="104"/>
        <v>8.6249232658072439E-2</v>
      </c>
      <c r="Q37" s="167">
        <f>SUM(Q31/Q$12)</f>
        <v>8.7650602409638553E-2</v>
      </c>
      <c r="R37" s="167">
        <f>SUM(R31/R$12)</f>
        <v>8.9623975120158322E-2</v>
      </c>
      <c r="S37" s="167">
        <f>SUM(S31/S$12)</f>
        <v>9.3868061609997097E-2</v>
      </c>
      <c r="T37" s="167">
        <f>SUM(T31/T$12)</f>
        <v>9.389542841500137E-2</v>
      </c>
      <c r="U37" s="167">
        <f>SUM(U31/U$12)</f>
        <v>9.18067787563384E-2</v>
      </c>
      <c r="V37" s="167">
        <f>SUM(V31/V$12)</f>
        <v>9.4560878243512975E-2</v>
      </c>
      <c r="W37" s="167">
        <f>SUM(W31/W$12)</f>
        <v>9.3000489476260398E-2</v>
      </c>
      <c r="X37" s="167">
        <f>SUM(X31/X$12)</f>
        <v>9.3970420932878274E-2</v>
      </c>
      <c r="Y37" s="167">
        <f>SUM(Y31/Y$12)</f>
        <v>9.4276841171251111E-2</v>
      </c>
      <c r="Z37" s="167">
        <f>SUM(Z31/Z$12)</f>
        <v>9.9224173131890567E-2</v>
      </c>
      <c r="AA37" s="167">
        <f>SUM(AA31/AA$12)</f>
        <v>0.10446847582126097</v>
      </c>
      <c r="AB37" s="168"/>
      <c r="AC37" s="169">
        <f t="shared" si="94"/>
        <v>9.389542841500137E-2</v>
      </c>
      <c r="AD37" s="169">
        <f t="shared" si="95"/>
        <v>9.18067787563384E-2</v>
      </c>
      <c r="AE37" s="169">
        <f t="shared" si="96"/>
        <v>9.4560878243512975E-2</v>
      </c>
      <c r="AF37" s="169">
        <f t="shared" si="97"/>
        <v>9.3000489476260398E-2</v>
      </c>
      <c r="AG37" s="169">
        <f t="shared" si="98"/>
        <v>9.3970420932878274E-2</v>
      </c>
      <c r="AH37" s="169">
        <f t="shared" si="99"/>
        <v>9.4276841171251111E-2</v>
      </c>
      <c r="AI37" s="169">
        <f t="shared" si="100"/>
        <v>9.9224173131890567E-2</v>
      </c>
      <c r="AJ37" s="170">
        <f t="shared" si="101"/>
        <v>0.10446847582126097</v>
      </c>
    </row>
    <row r="38" spans="1:48">
      <c r="B38" s="166" t="str">
        <f>B32&amp;"(%)"</f>
        <v>Cardiac Rhythm(%)</v>
      </c>
      <c r="C38" s="167">
        <f t="shared" ref="C38:D38" si="105">SUM(C32/C$12)</f>
        <v>0.17189549076969635</v>
      </c>
      <c r="D38" s="167">
        <f t="shared" si="105"/>
        <v>0.17002105263157893</v>
      </c>
      <c r="E38" s="167">
        <f>SUM(E32/E$12)</f>
        <v>0.1648092921048501</v>
      </c>
      <c r="F38" s="167">
        <f>SUM(F32/F$12)</f>
        <v>0.15575842696629214</v>
      </c>
      <c r="G38" s="167">
        <f>SUM(G32/G$12)</f>
        <v>0.13608407475965845</v>
      </c>
      <c r="H38" s="168"/>
      <c r="I38" s="167">
        <f t="shared" ref="I38:J38" si="106">SUM(I32/I$12)</f>
        <v>0.17123037604965316</v>
      </c>
      <c r="J38" s="167">
        <f t="shared" si="106"/>
        <v>0.17253868949621337</v>
      </c>
      <c r="K38" s="167">
        <f t="shared" ref="K38:Q38" si="107">SUM(K32/K$12)</f>
        <v>0.17576381737040853</v>
      </c>
      <c r="L38" s="167">
        <f t="shared" si="107"/>
        <v>0.16591349257585539</v>
      </c>
      <c r="M38" s="167">
        <f t="shared" si="107"/>
        <v>0.17334669338677355</v>
      </c>
      <c r="N38" s="167">
        <f t="shared" si="107"/>
        <v>0.16911534854642077</v>
      </c>
      <c r="O38" s="167">
        <f t="shared" si="107"/>
        <v>0.16613316261203584</v>
      </c>
      <c r="P38" s="167">
        <f t="shared" si="107"/>
        <v>0.15991405770411296</v>
      </c>
      <c r="Q38" s="167">
        <f>SUM(Q32/Q$12)</f>
        <v>0.16506024096385541</v>
      </c>
      <c r="R38" s="167">
        <f>SUM(R32/R$12)</f>
        <v>0.1600226180378852</v>
      </c>
      <c r="S38" s="167">
        <f>SUM(S32/S$12)</f>
        <v>0.16041848299912817</v>
      </c>
      <c r="T38" s="167">
        <f>SUM(T32/T$12)</f>
        <v>0.15110867779906925</v>
      </c>
      <c r="U38" s="167">
        <f>SUM(U32/U$12)</f>
        <v>0.15345609821190287</v>
      </c>
      <c r="V38" s="167">
        <f>SUM(V32/V$12)</f>
        <v>0.1437125748502994</v>
      </c>
      <c r="W38" s="167">
        <f>SUM(W32/W$12)</f>
        <v>0.13729809104258445</v>
      </c>
      <c r="X38" s="167">
        <f>SUM(X32/X$12)</f>
        <v>0.12901023890784982</v>
      </c>
      <c r="Y38" s="167">
        <f>SUM(Y32/Y$12)</f>
        <v>0.12821650399290152</v>
      </c>
      <c r="Z38" s="167">
        <f>SUM(Z32/Z$12)</f>
        <v>0.12045732952225398</v>
      </c>
      <c r="AA38" s="167">
        <f>SUM(AA32/AA$12)</f>
        <v>0.11793511528259538</v>
      </c>
      <c r="AB38" s="168"/>
      <c r="AC38" s="169">
        <f t="shared" si="94"/>
        <v>0.15110867779906925</v>
      </c>
      <c r="AD38" s="169">
        <f t="shared" si="95"/>
        <v>0.15345609821190287</v>
      </c>
      <c r="AE38" s="169">
        <f t="shared" si="96"/>
        <v>0.1437125748502994</v>
      </c>
      <c r="AF38" s="169">
        <f t="shared" si="97"/>
        <v>0.13729809104258445</v>
      </c>
      <c r="AG38" s="169">
        <f t="shared" si="98"/>
        <v>0.12901023890784982</v>
      </c>
      <c r="AH38" s="169">
        <f t="shared" si="99"/>
        <v>0.12821650399290152</v>
      </c>
      <c r="AI38" s="169">
        <f t="shared" si="100"/>
        <v>0.12045732952225398</v>
      </c>
      <c r="AJ38" s="170">
        <f t="shared" si="101"/>
        <v>0.11793511528259538</v>
      </c>
    </row>
    <row r="39" spans="1:48" ht="12.75" customHeight="1">
      <c r="B39" s="157" t="str">
        <f>B33&amp;"(%)"</f>
        <v>Electrophysiology(%)</v>
      </c>
      <c r="C39" s="158">
        <f t="shared" ref="C39:D39" si="108">SUM(C33/C$12)</f>
        <v>2.8951881367900736E-2</v>
      </c>
      <c r="D39" s="158">
        <f t="shared" si="108"/>
        <v>3.073684210526316E-2</v>
      </c>
      <c r="E39" s="158">
        <f>SUM(E33/E$12)</f>
        <v>4.5911159943493957E-2</v>
      </c>
      <c r="F39" s="158">
        <f>SUM(F33/F$12)</f>
        <v>5.6179775280898875E-2</v>
      </c>
      <c r="G39" s="158">
        <f>SUM(G33/G$12)</f>
        <v>0.11369200453812624</v>
      </c>
      <c r="H39" s="159"/>
      <c r="I39" s="158">
        <f t="shared" ref="I39:J39" si="109">SUM(I33/I$12)</f>
        <v>3.0303030303030304E-2</v>
      </c>
      <c r="J39" s="158">
        <f t="shared" si="109"/>
        <v>3.1280869278893647E-2</v>
      </c>
      <c r="K39" s="158">
        <f t="shared" ref="K39:Q39" si="110">SUM(K33/K$12)</f>
        <v>2.9522828698935806E-2</v>
      </c>
      <c r="L39" s="158">
        <f t="shared" si="110"/>
        <v>3.2601678502259521E-2</v>
      </c>
      <c r="M39" s="158">
        <f t="shared" si="110"/>
        <v>3.9412157648630597E-2</v>
      </c>
      <c r="N39" s="158">
        <f t="shared" si="110"/>
        <v>4.7514848390121912E-2</v>
      </c>
      <c r="O39" s="158">
        <f t="shared" si="110"/>
        <v>4.7375160051216392E-2</v>
      </c>
      <c r="P39" s="158">
        <f t="shared" si="110"/>
        <v>5.1258440761203193E-2</v>
      </c>
      <c r="Q39" s="158">
        <f>SUM(Q33/Q$12)</f>
        <v>5.3313253012048194E-2</v>
      </c>
      <c r="R39" s="158">
        <f>SUM(R33/R$12)</f>
        <v>5.4566016398077469E-2</v>
      </c>
      <c r="S39" s="158">
        <f>SUM(S33/S$12)</f>
        <v>5.5216506829410053E-2</v>
      </c>
      <c r="T39" s="158">
        <f>SUM(T33/T$12)</f>
        <v>6.5699425130030117E-2</v>
      </c>
      <c r="U39" s="158">
        <f>SUM(U33/U$12)</f>
        <v>8.0064051240992792E-2</v>
      </c>
      <c r="V39" s="158">
        <f>SUM(V33/V$12)</f>
        <v>0.10678642714570859</v>
      </c>
      <c r="W39" s="158">
        <f>SUM(W33/W$12)</f>
        <v>0.12897699461576115</v>
      </c>
      <c r="X39" s="158">
        <f>SUM(X33/X$12)</f>
        <v>0.14766780432309443</v>
      </c>
      <c r="Y39" s="158">
        <f>SUM(Y33/Y$12)</f>
        <v>0.16171251109139309</v>
      </c>
      <c r="Z39" s="158">
        <f>SUM(Z33/Z$12)</f>
        <v>0.17149857084524295</v>
      </c>
      <c r="AA39" s="158">
        <f>SUM(AA33/AA$12)</f>
        <v>0.17649459294021627</v>
      </c>
      <c r="AB39" s="159"/>
      <c r="AC39" s="160">
        <f t="shared" si="94"/>
        <v>6.5699425130030117E-2</v>
      </c>
      <c r="AD39" s="160">
        <f t="shared" si="95"/>
        <v>8.0064051240992792E-2</v>
      </c>
      <c r="AE39" s="160">
        <f t="shared" si="96"/>
        <v>0.10678642714570859</v>
      </c>
      <c r="AF39" s="160">
        <f t="shared" si="97"/>
        <v>0.12897699461576115</v>
      </c>
      <c r="AG39" s="160">
        <f t="shared" si="98"/>
        <v>0.14766780432309443</v>
      </c>
      <c r="AH39" s="160">
        <f t="shared" si="99"/>
        <v>0.16171251109139309</v>
      </c>
      <c r="AI39" s="160">
        <f t="shared" si="100"/>
        <v>0.17149857084524295</v>
      </c>
      <c r="AJ39" s="161">
        <f t="shared" si="101"/>
        <v>0.17649459294021627</v>
      </c>
    </row>
    <row r="41" spans="1:48">
      <c r="A41" s="36" t="s">
        <v>16</v>
      </c>
      <c r="B41" s="1" t="s">
        <v>159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</row>
    <row r="42" spans="1:48" ht="5.0999999999999996" customHeight="1"/>
    <row r="43" spans="1:48" ht="12.75" customHeight="1">
      <c r="A43" s="80" t="s">
        <v>16</v>
      </c>
      <c r="B43" s="78" t="s">
        <v>194</v>
      </c>
      <c r="C43" s="10"/>
      <c r="D43" s="10"/>
      <c r="E43" s="10"/>
      <c r="F43" s="10"/>
      <c r="G43" s="10"/>
      <c r="H43" s="10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32"/>
      <c r="U43" s="95"/>
      <c r="V43" s="95"/>
      <c r="W43" s="95"/>
      <c r="X43" s="32"/>
      <c r="Y43" s="95"/>
      <c r="Z43" s="95"/>
      <c r="AA43" s="95"/>
      <c r="AB43" s="5"/>
      <c r="AC43" s="11"/>
      <c r="AD43" s="11"/>
      <c r="AE43" s="11"/>
      <c r="AF43" s="11"/>
      <c r="AG43" s="11"/>
      <c r="AH43" s="11"/>
      <c r="AI43" s="11"/>
      <c r="AJ43" s="11"/>
    </row>
    <row r="44" spans="1:48" ht="12.75" customHeight="1">
      <c r="A44" s="80"/>
      <c r="B44" s="9" t="s">
        <v>175</v>
      </c>
      <c r="C44" s="81">
        <v>5508</v>
      </c>
      <c r="D44" s="81">
        <v>6901</v>
      </c>
      <c r="E44" s="81">
        <v>7632</v>
      </c>
      <c r="F44" s="81">
        <v>8425</v>
      </c>
      <c r="G44" s="81">
        <v>10210</v>
      </c>
      <c r="H44" s="10"/>
      <c r="I44" s="95">
        <v>1577</v>
      </c>
      <c r="J44" s="95">
        <v>1800</v>
      </c>
      <c r="K44" s="95">
        <v>1726</v>
      </c>
      <c r="L44" s="24">
        <v>1798</v>
      </c>
      <c r="M44" s="95">
        <v>1778</v>
      </c>
      <c r="N44" s="95">
        <v>1934</v>
      </c>
      <c r="O44" s="95">
        <v>1934</v>
      </c>
      <c r="P44" s="24">
        <v>1986</v>
      </c>
      <c r="Q44" s="95">
        <v>2003</v>
      </c>
      <c r="R44" s="95">
        <v>2110</v>
      </c>
      <c r="S44" s="95">
        <v>2099</v>
      </c>
      <c r="T44" s="32">
        <v>2213</v>
      </c>
      <c r="U44" s="95">
        <v>2258</v>
      </c>
      <c r="V44" s="95">
        <v>2466</v>
      </c>
      <c r="W44" s="95">
        <v>2593</v>
      </c>
      <c r="X44" s="32">
        <v>2893</v>
      </c>
      <c r="Y44" s="82">
        <v>2960</v>
      </c>
      <c r="Z44" s="82">
        <v>3224</v>
      </c>
      <c r="AA44" s="81">
        <v>3294</v>
      </c>
      <c r="AB44" s="5"/>
      <c r="AC44" s="32">
        <f t="shared" ref="AC44:AC47" si="111">SUM(Q44:T44)</f>
        <v>8425</v>
      </c>
      <c r="AD44" s="32">
        <f t="shared" ref="AD44:AD47" si="112">SUM(R44:U44)</f>
        <v>8680</v>
      </c>
      <c r="AE44" s="32">
        <f t="shared" ref="AE44:AE47" si="113">SUM(S44:V44)</f>
        <v>9036</v>
      </c>
      <c r="AF44" s="32">
        <f t="shared" ref="AF44:AF47" si="114">SUM(T44:W44)</f>
        <v>9530</v>
      </c>
      <c r="AG44" s="32">
        <f t="shared" ref="AG44:AG47" si="115">SUM(U44:X44)</f>
        <v>10210</v>
      </c>
      <c r="AH44" s="32">
        <f t="shared" ref="AH44:AH47" si="116">SUM(V44:Y44)</f>
        <v>10912</v>
      </c>
      <c r="AI44" s="32">
        <f t="shared" ref="AI44:AI47" si="117">SUM(W44:Z44)</f>
        <v>11670</v>
      </c>
      <c r="AJ44" s="32">
        <f t="shared" ref="AJ44:AJ47" si="118">SUM(X44:AA44)</f>
        <v>12371</v>
      </c>
    </row>
    <row r="45" spans="1:48">
      <c r="B45" s="9" t="s">
        <v>182</v>
      </c>
      <c r="C45" s="81">
        <v>2097</v>
      </c>
      <c r="D45" s="81">
        <v>2518</v>
      </c>
      <c r="E45" s="81">
        <v>2526</v>
      </c>
      <c r="F45" s="81">
        <v>2856</v>
      </c>
      <c r="G45" s="81">
        <v>3228</v>
      </c>
      <c r="H45" s="81"/>
      <c r="I45" s="95">
        <v>604</v>
      </c>
      <c r="J45" s="95">
        <v>662</v>
      </c>
      <c r="K45" s="95">
        <v>590</v>
      </c>
      <c r="L45" s="24">
        <v>662</v>
      </c>
      <c r="M45" s="95">
        <v>624</v>
      </c>
      <c r="N45" s="95">
        <v>660</v>
      </c>
      <c r="O45" s="95">
        <v>585</v>
      </c>
      <c r="P45" s="24">
        <v>657</v>
      </c>
      <c r="Q45" s="95">
        <v>712</v>
      </c>
      <c r="R45" s="95">
        <v>723</v>
      </c>
      <c r="S45" s="95">
        <v>671</v>
      </c>
      <c r="T45" s="32">
        <v>750</v>
      </c>
      <c r="U45" s="95">
        <v>803</v>
      </c>
      <c r="V45" s="95">
        <v>822</v>
      </c>
      <c r="W45" s="95">
        <v>773</v>
      </c>
      <c r="X45" s="32">
        <v>830</v>
      </c>
      <c r="Y45" s="82">
        <v>846</v>
      </c>
      <c r="Z45" s="82">
        <v>878</v>
      </c>
      <c r="AA45" s="81">
        <v>793</v>
      </c>
      <c r="AB45" s="5"/>
      <c r="AC45" s="32">
        <f t="shared" si="111"/>
        <v>2856</v>
      </c>
      <c r="AD45" s="32">
        <f t="shared" si="112"/>
        <v>2947</v>
      </c>
      <c r="AE45" s="32">
        <f t="shared" si="113"/>
        <v>3046</v>
      </c>
      <c r="AF45" s="32">
        <f t="shared" si="114"/>
        <v>3148</v>
      </c>
      <c r="AG45" s="32">
        <f t="shared" si="115"/>
        <v>3228</v>
      </c>
      <c r="AH45" s="32">
        <f t="shared" si="116"/>
        <v>3271</v>
      </c>
      <c r="AI45" s="32">
        <f t="shared" si="117"/>
        <v>3327</v>
      </c>
      <c r="AJ45" s="32">
        <f t="shared" si="118"/>
        <v>3347</v>
      </c>
    </row>
    <row r="46" spans="1:48">
      <c r="B46" s="9" t="s">
        <v>183</v>
      </c>
      <c r="C46" s="81">
        <v>1781</v>
      </c>
      <c r="D46" s="81">
        <v>2070</v>
      </c>
      <c r="E46" s="81">
        <v>2116</v>
      </c>
      <c r="F46" s="81">
        <v>2400</v>
      </c>
      <c r="G46" s="81">
        <v>2686</v>
      </c>
      <c r="H46" s="81"/>
      <c r="I46" s="95">
        <v>473</v>
      </c>
      <c r="J46" s="95">
        <v>520</v>
      </c>
      <c r="K46" s="95">
        <v>517</v>
      </c>
      <c r="L46" s="24">
        <v>560</v>
      </c>
      <c r="M46" s="95">
        <v>517</v>
      </c>
      <c r="N46" s="95">
        <v>530</v>
      </c>
      <c r="O46" s="95">
        <v>532</v>
      </c>
      <c r="P46" s="24">
        <v>537</v>
      </c>
      <c r="Q46" s="95">
        <v>548</v>
      </c>
      <c r="R46" s="95">
        <v>626</v>
      </c>
      <c r="S46" s="95">
        <v>611</v>
      </c>
      <c r="T46" s="32">
        <v>615</v>
      </c>
      <c r="U46" s="95">
        <v>647</v>
      </c>
      <c r="V46" s="95">
        <v>670</v>
      </c>
      <c r="W46" s="95">
        <v>684</v>
      </c>
      <c r="X46" s="32">
        <v>685</v>
      </c>
      <c r="Y46" s="82">
        <v>701</v>
      </c>
      <c r="Z46" s="82">
        <v>790</v>
      </c>
      <c r="AA46" s="81">
        <v>803</v>
      </c>
      <c r="AB46" s="5"/>
      <c r="AC46" s="32">
        <f t="shared" si="111"/>
        <v>2400</v>
      </c>
      <c r="AD46" s="32">
        <f t="shared" si="112"/>
        <v>2499</v>
      </c>
      <c r="AE46" s="32">
        <f t="shared" si="113"/>
        <v>2543</v>
      </c>
      <c r="AF46" s="32">
        <f t="shared" si="114"/>
        <v>2616</v>
      </c>
      <c r="AG46" s="32">
        <f t="shared" si="115"/>
        <v>2686</v>
      </c>
      <c r="AH46" s="32">
        <f t="shared" si="116"/>
        <v>2740</v>
      </c>
      <c r="AI46" s="32">
        <f t="shared" si="117"/>
        <v>2860</v>
      </c>
      <c r="AJ46" s="32">
        <f t="shared" si="118"/>
        <v>2979</v>
      </c>
    </row>
    <row r="47" spans="1:48">
      <c r="B47" s="9" t="s">
        <v>184</v>
      </c>
      <c r="C47" s="81">
        <v>307</v>
      </c>
      <c r="D47" s="81">
        <v>386</v>
      </c>
      <c r="E47" s="81">
        <v>469</v>
      </c>
      <c r="F47" s="81">
        <v>559</v>
      </c>
      <c r="G47" s="81">
        <v>623</v>
      </c>
      <c r="H47" s="81"/>
      <c r="I47" s="95">
        <v>85</v>
      </c>
      <c r="J47" s="95">
        <v>95</v>
      </c>
      <c r="K47" s="95">
        <v>99</v>
      </c>
      <c r="L47" s="24">
        <v>107</v>
      </c>
      <c r="M47" s="95">
        <v>107</v>
      </c>
      <c r="N47" s="95">
        <v>120</v>
      </c>
      <c r="O47" s="95">
        <v>119</v>
      </c>
      <c r="P47" s="24">
        <v>123</v>
      </c>
      <c r="Q47" s="95">
        <v>126</v>
      </c>
      <c r="R47" s="95">
        <v>140</v>
      </c>
      <c r="S47" s="95">
        <v>146</v>
      </c>
      <c r="T47" s="32">
        <v>147</v>
      </c>
      <c r="U47" s="95">
        <v>149</v>
      </c>
      <c r="V47" s="95">
        <v>162</v>
      </c>
      <c r="W47" s="95">
        <v>159</v>
      </c>
      <c r="X47" s="32">
        <v>153</v>
      </c>
      <c r="Y47" s="82">
        <v>156</v>
      </c>
      <c r="Z47" s="82">
        <v>169</v>
      </c>
      <c r="AA47" s="81">
        <v>175</v>
      </c>
      <c r="AB47" s="5"/>
      <c r="AC47" s="32">
        <f t="shared" si="111"/>
        <v>559</v>
      </c>
      <c r="AD47" s="32">
        <f t="shared" si="112"/>
        <v>582</v>
      </c>
      <c r="AE47" s="32">
        <f t="shared" si="113"/>
        <v>604</v>
      </c>
      <c r="AF47" s="32">
        <f t="shared" si="114"/>
        <v>617</v>
      </c>
      <c r="AG47" s="32">
        <f t="shared" si="115"/>
        <v>623</v>
      </c>
      <c r="AH47" s="32">
        <f t="shared" si="116"/>
        <v>630</v>
      </c>
      <c r="AI47" s="32">
        <f t="shared" si="117"/>
        <v>637</v>
      </c>
      <c r="AJ47" s="32">
        <f t="shared" si="118"/>
        <v>653</v>
      </c>
    </row>
    <row r="48" spans="1:48">
      <c r="B48" s="13" t="s">
        <v>178</v>
      </c>
      <c r="C48" s="14">
        <f t="shared" ref="C48:D48" si="119">SUM(C44:C47)</f>
        <v>9693</v>
      </c>
      <c r="D48" s="14">
        <f t="shared" si="119"/>
        <v>11875</v>
      </c>
      <c r="E48" s="14">
        <f>SUM(E44:E47)</f>
        <v>12743</v>
      </c>
      <c r="F48" s="14">
        <f>SUM(F44:F47)</f>
        <v>14240</v>
      </c>
      <c r="G48" s="14">
        <f>SUM(G44:G47)</f>
        <v>16747</v>
      </c>
      <c r="H48" s="11"/>
      <c r="I48" s="14">
        <f t="shared" ref="I48" si="120">SUM(I44:I47)</f>
        <v>2739</v>
      </c>
      <c r="J48" s="14">
        <f t="shared" ref="J48" si="121">SUM(J44:J47)</f>
        <v>3077</v>
      </c>
      <c r="K48" s="14">
        <f t="shared" ref="K48:P48" si="122">SUM(K44:K47)</f>
        <v>2932</v>
      </c>
      <c r="L48" s="14">
        <f t="shared" si="122"/>
        <v>3127</v>
      </c>
      <c r="M48" s="14">
        <f t="shared" si="122"/>
        <v>3026</v>
      </c>
      <c r="N48" s="14">
        <f t="shared" si="122"/>
        <v>3244</v>
      </c>
      <c r="O48" s="14">
        <f t="shared" si="122"/>
        <v>3170</v>
      </c>
      <c r="P48" s="14">
        <f t="shared" si="122"/>
        <v>3303</v>
      </c>
      <c r="Q48" s="14">
        <f>SUM(Q44:Q47)</f>
        <v>3389</v>
      </c>
      <c r="R48" s="14">
        <f>SUM(R44:R47)</f>
        <v>3599</v>
      </c>
      <c r="S48" s="14">
        <f>SUM(S44:S47)</f>
        <v>3527</v>
      </c>
      <c r="T48" s="14">
        <f>SUM(T44:T47)</f>
        <v>3725</v>
      </c>
      <c r="U48" s="14">
        <f>SUM(U44:U47)</f>
        <v>3857</v>
      </c>
      <c r="V48" s="14">
        <f>SUM(V44:V47)</f>
        <v>4120</v>
      </c>
      <c r="W48" s="14">
        <f>SUM(W44:W47)</f>
        <v>4209</v>
      </c>
      <c r="X48" s="14">
        <f>SUM(X44:X47)</f>
        <v>4561</v>
      </c>
      <c r="Y48" s="14">
        <f>SUM(Y44:Y47)</f>
        <v>4663</v>
      </c>
      <c r="Z48" s="14">
        <f>SUM(Z44:Z47)</f>
        <v>5061</v>
      </c>
      <c r="AA48" s="14">
        <f>SUM(AA44:AA47)</f>
        <v>5065</v>
      </c>
      <c r="AB48" s="5"/>
      <c r="AC48" s="14">
        <f>SUM(AC44:AC47)</f>
        <v>14240</v>
      </c>
      <c r="AD48" s="14">
        <f>SUM(AD44:AD47)</f>
        <v>14708</v>
      </c>
      <c r="AE48" s="14">
        <f>SUM(AE44:AE47)</f>
        <v>15229</v>
      </c>
      <c r="AF48" s="14">
        <f>SUM(AF44:AF47)</f>
        <v>15911</v>
      </c>
      <c r="AG48" s="14">
        <f>SUM(AG44:AG47)</f>
        <v>16747</v>
      </c>
      <c r="AH48" s="14">
        <f>SUM(AH44:AH47)</f>
        <v>17553</v>
      </c>
      <c r="AI48" s="14">
        <f>SUM(AI44:AI47)</f>
        <v>18494</v>
      </c>
      <c r="AJ48" s="14">
        <f>SUM(AJ44:AJ47)</f>
        <v>19350</v>
      </c>
    </row>
    <row r="49" spans="2:36">
      <c r="B49" s="18"/>
      <c r="C49" s="19"/>
      <c r="D49" s="19"/>
      <c r="E49" s="19"/>
      <c r="F49" s="19"/>
      <c r="G49" s="19"/>
      <c r="H49" s="20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2"/>
      <c r="U49" s="21"/>
      <c r="V49" s="21"/>
      <c r="W49" s="21"/>
      <c r="X49" s="21"/>
      <c r="Y49" s="21"/>
      <c r="Z49" s="21"/>
      <c r="AA49" s="21"/>
      <c r="AB49" s="20"/>
      <c r="AC49" s="20"/>
      <c r="AD49" s="20"/>
      <c r="AE49" s="20"/>
      <c r="AF49" s="20"/>
      <c r="AG49" s="20"/>
      <c r="AH49" s="20"/>
      <c r="AI49" s="20"/>
      <c r="AJ49" s="20"/>
    </row>
    <row r="50" spans="2:36">
      <c r="B50" s="152" t="str">
        <f>B44&amp;"(%)"</f>
        <v>U.S. Revenues(%)</v>
      </c>
      <c r="C50" s="153">
        <f t="shared" ref="C50:D50" si="123">SUM(C44/C$12)</f>
        <v>0.55563401593866635</v>
      </c>
      <c r="D50" s="153">
        <f t="shared" si="123"/>
        <v>0.58113684210526317</v>
      </c>
      <c r="E50" s="153">
        <f>SUM(E44/E$12)</f>
        <v>0.59896405587819812</v>
      </c>
      <c r="F50" s="153">
        <f>SUM(F44/F$12)</f>
        <v>0.5916432584269663</v>
      </c>
      <c r="G50" s="153">
        <f>SUM(G44/G$12)</f>
        <v>0.60966143189825039</v>
      </c>
      <c r="H50" s="154"/>
      <c r="I50" s="153">
        <f t="shared" ref="I50:J50" si="124">SUM(I44/I$12)</f>
        <v>0.5757575757575758</v>
      </c>
      <c r="J50" s="153">
        <f t="shared" si="124"/>
        <v>0.59269015475798481</v>
      </c>
      <c r="K50" s="153">
        <f t="shared" ref="K50:Q50" si="125">SUM(K44/K$12)</f>
        <v>0.59251630621352558</v>
      </c>
      <c r="L50" s="153">
        <f t="shared" si="125"/>
        <v>0.58037443511943188</v>
      </c>
      <c r="M50" s="153">
        <f t="shared" si="125"/>
        <v>0.59385437541750163</v>
      </c>
      <c r="N50" s="153">
        <f t="shared" si="125"/>
        <v>0.60456392622694588</v>
      </c>
      <c r="O50" s="153">
        <f t="shared" si="125"/>
        <v>0.61907810499359794</v>
      </c>
      <c r="P50" s="153">
        <f t="shared" si="125"/>
        <v>0.60957642725598526</v>
      </c>
      <c r="Q50" s="153">
        <f>SUM(Q44/Q$12)</f>
        <v>0.60331325301204819</v>
      </c>
      <c r="R50" s="153">
        <f>SUM(R44/R$12)</f>
        <v>0.59655074922250495</v>
      </c>
      <c r="S50" s="153">
        <f>SUM(S44/S$12)</f>
        <v>0.60999709386806156</v>
      </c>
      <c r="T50" s="153">
        <f>SUM(T44/T$12)</f>
        <v>0.60580344921981932</v>
      </c>
      <c r="U50" s="153">
        <f>SUM(U44/U$12)</f>
        <v>0.60261542567387238</v>
      </c>
      <c r="V50" s="153">
        <f>SUM(V44/V$12)</f>
        <v>0.6152694610778443</v>
      </c>
      <c r="W50" s="153">
        <f>SUM(W44/W$12)</f>
        <v>0.63460597161037691</v>
      </c>
      <c r="X50" s="153">
        <f>SUM(X44/X$12)</f>
        <v>0.65824800910125147</v>
      </c>
      <c r="Y50" s="153">
        <f>SUM(Y44/Y$12)</f>
        <v>0.65661047027506658</v>
      </c>
      <c r="Z50" s="153">
        <f>SUM(Z44/Z$12)</f>
        <v>0.65822784810126578</v>
      </c>
      <c r="AA50" s="153">
        <f>SUM(AA44/AA$12)</f>
        <v>0.67210773311569072</v>
      </c>
      <c r="AB50" s="154"/>
      <c r="AC50" s="155">
        <f t="shared" ref="AC50" si="126">T50</f>
        <v>0.60580344921981932</v>
      </c>
      <c r="AD50" s="155">
        <f t="shared" ref="AD50" si="127">U50</f>
        <v>0.60261542567387238</v>
      </c>
      <c r="AE50" s="155">
        <f t="shared" ref="AE50" si="128">V50</f>
        <v>0.6152694610778443</v>
      </c>
      <c r="AF50" s="155">
        <f t="shared" ref="AF50" si="129">W50</f>
        <v>0.63460597161037691</v>
      </c>
      <c r="AG50" s="155">
        <f t="shared" ref="AG50" si="130">X50</f>
        <v>0.65824800910125147</v>
      </c>
      <c r="AH50" s="155">
        <f t="shared" ref="AH50" si="131">Y50</f>
        <v>0.65661047027506658</v>
      </c>
      <c r="AI50" s="155">
        <f t="shared" ref="AI50" si="132">Z50</f>
        <v>0.65822784810126578</v>
      </c>
      <c r="AJ50" s="156">
        <f t="shared" ref="AJ50" si="133">AA50</f>
        <v>0.67210773311569072</v>
      </c>
    </row>
    <row r="51" spans="2:36">
      <c r="B51" s="166" t="str">
        <f t="shared" ref="B51:B53" si="134">B45&amp;"(%)"</f>
        <v>Euro, Mid. East, Afr(%)</v>
      </c>
      <c r="C51" s="167">
        <f t="shared" ref="C51:D51" si="135">SUM(C45/C$12)</f>
        <v>0.211540401492989</v>
      </c>
      <c r="D51" s="167">
        <f t="shared" si="135"/>
        <v>0.21204210526315789</v>
      </c>
      <c r="E51" s="167">
        <f t="shared" ref="E51:G51" si="136">SUM(E45/E$12)</f>
        <v>0.19824203421754827</v>
      </c>
      <c r="F51" s="167">
        <f t="shared" si="136"/>
        <v>0.200561797752809</v>
      </c>
      <c r="G51" s="167">
        <f t="shared" si="136"/>
        <v>0.19275094046694929</v>
      </c>
      <c r="H51" s="168"/>
      <c r="I51" s="167">
        <f t="shared" ref="I51:J51" si="137">SUM(I45/I$12)</f>
        <v>0.22051843738590726</v>
      </c>
      <c r="J51" s="167">
        <f t="shared" si="137"/>
        <v>0.21797826802765888</v>
      </c>
      <c r="K51" s="167">
        <f t="shared" ref="K51:Q51" si="138">SUM(K45/K$12)</f>
        <v>0.20254033642293168</v>
      </c>
      <c r="L51" s="167">
        <f t="shared" si="138"/>
        <v>0.21368624919302776</v>
      </c>
      <c r="M51" s="167">
        <f t="shared" si="138"/>
        <v>0.20841683366733466</v>
      </c>
      <c r="N51" s="167">
        <f t="shared" si="138"/>
        <v>0.20631447327289779</v>
      </c>
      <c r="O51" s="167">
        <f t="shared" si="138"/>
        <v>0.18725992317541612</v>
      </c>
      <c r="P51" s="167">
        <f t="shared" si="138"/>
        <v>0.20165745856353592</v>
      </c>
      <c r="Q51" s="167">
        <f t="shared" ref="Q51:AA51" si="139">SUM(Q45/Q$12)</f>
        <v>0.21445783132530122</v>
      </c>
      <c r="R51" s="167">
        <f t="shared" si="139"/>
        <v>0.20441051738761662</v>
      </c>
      <c r="S51" s="167">
        <f t="shared" si="139"/>
        <v>0.19500145306596919</v>
      </c>
      <c r="T51" s="167">
        <f t="shared" si="139"/>
        <v>0.20531070353134409</v>
      </c>
      <c r="U51" s="167">
        <f t="shared" si="139"/>
        <v>0.21430477715505739</v>
      </c>
      <c r="V51" s="167">
        <f t="shared" si="139"/>
        <v>0.20508982035928144</v>
      </c>
      <c r="W51" s="167">
        <f t="shared" si="139"/>
        <v>0.18918257464512972</v>
      </c>
      <c r="X51" s="167">
        <f t="shared" si="139"/>
        <v>0.18885096700796358</v>
      </c>
      <c r="Y51" s="167">
        <f t="shared" si="139"/>
        <v>0.18766637089618457</v>
      </c>
      <c r="Z51" s="167">
        <f t="shared" si="139"/>
        <v>0.17925683952633728</v>
      </c>
      <c r="AA51" s="167">
        <f t="shared" si="139"/>
        <v>0.16180371352785147</v>
      </c>
      <c r="AB51" s="168"/>
      <c r="AC51" s="169">
        <f t="shared" ref="AC51:AC53" si="140">T51</f>
        <v>0.20531070353134409</v>
      </c>
      <c r="AD51" s="169">
        <f t="shared" ref="AD51:AD53" si="141">U51</f>
        <v>0.21430477715505739</v>
      </c>
      <c r="AE51" s="169">
        <f t="shared" ref="AE51:AE53" si="142">V51</f>
        <v>0.20508982035928144</v>
      </c>
      <c r="AF51" s="169">
        <f t="shared" ref="AF51:AF53" si="143">W51</f>
        <v>0.18918257464512972</v>
      </c>
      <c r="AG51" s="169">
        <f t="shared" ref="AG51:AG53" si="144">X51</f>
        <v>0.18885096700796358</v>
      </c>
      <c r="AH51" s="169">
        <f t="shared" ref="AH51:AH53" si="145">Y51</f>
        <v>0.18766637089618457</v>
      </c>
      <c r="AI51" s="169">
        <f t="shared" ref="AI51:AI53" si="146">Z51</f>
        <v>0.17925683952633728</v>
      </c>
      <c r="AJ51" s="170">
        <f t="shared" ref="AJ51:AJ53" si="147">AA51</f>
        <v>0.16180371352785147</v>
      </c>
    </row>
    <row r="52" spans="2:36">
      <c r="B52" s="166" t="str">
        <f t="shared" si="134"/>
        <v>A-Pac(%)</v>
      </c>
      <c r="C52" s="167">
        <f t="shared" ref="C52:D52" si="148">SUM(C46/C$12)</f>
        <v>0.17966306869766974</v>
      </c>
      <c r="D52" s="167">
        <f t="shared" si="148"/>
        <v>0.1743157894736842</v>
      </c>
      <c r="E52" s="167">
        <f t="shared" ref="E52:G52" si="149">SUM(E46/E$12)</f>
        <v>0.16606498194945848</v>
      </c>
      <c r="F52" s="167">
        <f t="shared" si="149"/>
        <v>0.16853932584269662</v>
      </c>
      <c r="G52" s="167">
        <f t="shared" si="149"/>
        <v>0.16038693497342807</v>
      </c>
      <c r="H52" s="168"/>
      <c r="I52" s="167">
        <f t="shared" ref="I52:J52" si="150">SUM(I46/I$12)</f>
        <v>0.17269076305220885</v>
      </c>
      <c r="J52" s="167">
        <f t="shared" si="150"/>
        <v>0.17122160026341784</v>
      </c>
      <c r="K52" s="167">
        <f t="shared" ref="K52:Q52" si="151">SUM(K46/K$12)</f>
        <v>0.1774802608994164</v>
      </c>
      <c r="L52" s="167">
        <f t="shared" si="151"/>
        <v>0.18076178179470626</v>
      </c>
      <c r="M52" s="167">
        <f t="shared" si="151"/>
        <v>0.17267869071476286</v>
      </c>
      <c r="N52" s="167">
        <f t="shared" si="151"/>
        <v>0.16567677399187247</v>
      </c>
      <c r="O52" s="167">
        <f t="shared" si="151"/>
        <v>0.17029449423815621</v>
      </c>
      <c r="P52" s="167">
        <f t="shared" si="151"/>
        <v>0.16482504604051565</v>
      </c>
      <c r="Q52" s="167">
        <f t="shared" ref="Q52:AA52" si="152">SUM(Q46/Q$12)</f>
        <v>0.16506024096385541</v>
      </c>
      <c r="R52" s="167">
        <f t="shared" si="152"/>
        <v>0.17698614645179531</v>
      </c>
      <c r="S52" s="167">
        <f t="shared" si="152"/>
        <v>0.17756466143562918</v>
      </c>
      <c r="T52" s="167">
        <f t="shared" si="152"/>
        <v>0.16835477689570216</v>
      </c>
      <c r="U52" s="167">
        <f t="shared" si="152"/>
        <v>0.17267147050974113</v>
      </c>
      <c r="V52" s="167">
        <f t="shared" si="152"/>
        <v>0.16716566866267465</v>
      </c>
      <c r="W52" s="167">
        <f t="shared" si="152"/>
        <v>0.16740088105726872</v>
      </c>
      <c r="X52" s="167">
        <f t="shared" si="152"/>
        <v>0.15585893060295791</v>
      </c>
      <c r="Y52" s="167">
        <f t="shared" si="152"/>
        <v>0.15550133096716948</v>
      </c>
      <c r="Z52" s="167">
        <f t="shared" si="152"/>
        <v>0.16129032258064516</v>
      </c>
      <c r="AA52" s="167">
        <f t="shared" si="152"/>
        <v>0.16384411344623545</v>
      </c>
      <c r="AB52" s="168"/>
      <c r="AC52" s="169">
        <f t="shared" si="140"/>
        <v>0.16835477689570216</v>
      </c>
      <c r="AD52" s="169">
        <f t="shared" si="141"/>
        <v>0.17267147050974113</v>
      </c>
      <c r="AE52" s="169">
        <f t="shared" si="142"/>
        <v>0.16716566866267465</v>
      </c>
      <c r="AF52" s="169">
        <f t="shared" si="143"/>
        <v>0.16740088105726872</v>
      </c>
      <c r="AG52" s="169">
        <f t="shared" si="144"/>
        <v>0.15585893060295791</v>
      </c>
      <c r="AH52" s="169">
        <f t="shared" si="145"/>
        <v>0.15550133096716948</v>
      </c>
      <c r="AI52" s="169">
        <f t="shared" si="146"/>
        <v>0.16129032258064516</v>
      </c>
      <c r="AJ52" s="170">
        <f t="shared" si="147"/>
        <v>0.16384411344623545</v>
      </c>
    </row>
    <row r="53" spans="2:36" ht="12.75" customHeight="1">
      <c r="B53" s="157" t="str">
        <f t="shared" si="134"/>
        <v>Lat Am + Canada(%)</v>
      </c>
      <c r="C53" s="158">
        <f t="shared" ref="C53:D53" si="153">SUM(C47/C$12)</f>
        <v>3.0969434076465248E-2</v>
      </c>
      <c r="D53" s="158">
        <f t="shared" si="153"/>
        <v>3.2505263157894738E-2</v>
      </c>
      <c r="E53" s="158">
        <f t="shared" ref="E53:G53" si="154">SUM(E47/E$12)</f>
        <v>3.6807408570083189E-2</v>
      </c>
      <c r="F53" s="158">
        <f t="shared" si="154"/>
        <v>3.9255617977528093E-2</v>
      </c>
      <c r="G53" s="158">
        <f t="shared" si="154"/>
        <v>3.7200692661372187E-2</v>
      </c>
      <c r="H53" s="159"/>
      <c r="I53" s="158">
        <f t="shared" ref="I53:J53" si="155">SUM(I47/I$12)</f>
        <v>3.1033223804308143E-2</v>
      </c>
      <c r="J53" s="158">
        <f t="shared" si="155"/>
        <v>3.1280869278893647E-2</v>
      </c>
      <c r="K53" s="158">
        <f t="shared" ref="K53:Q53" si="156">SUM(K47/K$12)</f>
        <v>3.3985581874356331E-2</v>
      </c>
      <c r="L53" s="158">
        <f t="shared" si="156"/>
        <v>3.4538411878631374E-2</v>
      </c>
      <c r="M53" s="158">
        <f t="shared" si="156"/>
        <v>3.5738142952571814E-2</v>
      </c>
      <c r="N53" s="158">
        <f t="shared" si="156"/>
        <v>3.7511722413254144E-2</v>
      </c>
      <c r="O53" s="158">
        <f t="shared" si="156"/>
        <v>3.8092189500640201E-2</v>
      </c>
      <c r="P53" s="158">
        <f t="shared" si="156"/>
        <v>3.7753222836095765E-2</v>
      </c>
      <c r="Q53" s="158">
        <f t="shared" ref="Q53:AA53" si="157">SUM(Q47/Q$12)</f>
        <v>3.7951807228915661E-2</v>
      </c>
      <c r="R53" s="158">
        <f t="shared" si="157"/>
        <v>3.9581566299123551E-2</v>
      </c>
      <c r="S53" s="158">
        <f t="shared" si="157"/>
        <v>4.2429526300494042E-2</v>
      </c>
      <c r="T53" s="158">
        <f t="shared" si="157"/>
        <v>4.0240897892143447E-2</v>
      </c>
      <c r="U53" s="158">
        <f t="shared" si="157"/>
        <v>3.976514544969309E-2</v>
      </c>
      <c r="V53" s="158">
        <f t="shared" si="157"/>
        <v>4.0419161676646706E-2</v>
      </c>
      <c r="W53" s="158">
        <f t="shared" si="157"/>
        <v>3.8913362701908955E-2</v>
      </c>
      <c r="X53" s="158">
        <f t="shared" si="157"/>
        <v>3.4812286689419797E-2</v>
      </c>
      <c r="Y53" s="158">
        <f t="shared" si="157"/>
        <v>3.4605146406388641E-2</v>
      </c>
      <c r="Z53" s="158">
        <f t="shared" si="157"/>
        <v>3.4503879134340547E-2</v>
      </c>
      <c r="AA53" s="158">
        <f t="shared" si="157"/>
        <v>3.5706998571720057E-2</v>
      </c>
      <c r="AB53" s="159"/>
      <c r="AC53" s="160">
        <f t="shared" si="140"/>
        <v>4.0240897892143447E-2</v>
      </c>
      <c r="AD53" s="160">
        <f t="shared" si="141"/>
        <v>3.976514544969309E-2</v>
      </c>
      <c r="AE53" s="160">
        <f t="shared" si="142"/>
        <v>4.0419161676646706E-2</v>
      </c>
      <c r="AF53" s="160">
        <f t="shared" si="143"/>
        <v>3.8913362701908955E-2</v>
      </c>
      <c r="AG53" s="160">
        <f t="shared" si="144"/>
        <v>3.4812286689419797E-2</v>
      </c>
      <c r="AH53" s="160">
        <f t="shared" si="145"/>
        <v>3.4605146406388641E-2</v>
      </c>
      <c r="AI53" s="160">
        <f t="shared" si="146"/>
        <v>3.4503879134340547E-2</v>
      </c>
      <c r="AJ53" s="161">
        <f t="shared" si="147"/>
        <v>3.5706998571720057E-2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 xml:space="preserve">Boston Scientific Corp. (NYSE: BSX) 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 t="e">
        <f>'Historical Financials'!#REF!</f>
        <v>#REF!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Financials'!Q7</f>
        <v>1Q23</v>
      </c>
      <c r="I3" s="7" t="str">
        <f>'Historical Financials'!R7</f>
        <v>2Q23</v>
      </c>
      <c r="J3" s="7" t="str">
        <f>'Historical Financials'!S7</f>
        <v>3Q23</v>
      </c>
      <c r="K3" s="7" t="str">
        <f>'Historical Financials'!T7</f>
        <v>4Q23</v>
      </c>
      <c r="L3" s="7" t="str">
        <f>'Historical Financials'!U7</f>
        <v>1Q24</v>
      </c>
      <c r="M3" s="7" t="str">
        <f>'Historical Financials'!V7</f>
        <v>2Q24</v>
      </c>
      <c r="N3" s="7" t="str">
        <f>'Historical Financials'!W7</f>
        <v>3Q24</v>
      </c>
      <c r="O3" s="7" t="str">
        <f>'Historical Financials'!X7</f>
        <v>4Q24</v>
      </c>
      <c r="P3" s="7" t="str">
        <f>'Historical Financials'!Y7</f>
        <v>1Q25</v>
      </c>
      <c r="Q3" s="7" t="str">
        <f>'Historical Financials'!Z7</f>
        <v>2Q25</v>
      </c>
      <c r="R3" s="7" t="str">
        <f>'Historical Financials'!AA7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 t="e">
        <f>'Historical Financials'!#REF!</f>
        <v>#REF!</v>
      </c>
      <c r="D4" s="3">
        <f>'Historical Financials'!E8</f>
        <v>0</v>
      </c>
      <c r="E4" s="3">
        <f>'Historical Financials'!F8</f>
        <v>0</v>
      </c>
      <c r="F4" s="3">
        <f>'Historical Financials'!G8</f>
        <v>0</v>
      </c>
      <c r="G4" s="3"/>
      <c r="H4" s="3">
        <f>'Historical Financials'!Q8</f>
        <v>0</v>
      </c>
      <c r="I4" s="3">
        <f>'Historical Financials'!R8</f>
        <v>0</v>
      </c>
      <c r="J4" s="3">
        <f>'Historical Financials'!S8</f>
        <v>0</v>
      </c>
      <c r="K4" s="3">
        <f>'Historical Financials'!T8</f>
        <v>0</v>
      </c>
      <c r="L4" s="3">
        <f>'Historical Financials'!U8</f>
        <v>0</v>
      </c>
      <c r="M4" s="3">
        <f>'Historical Financials'!V8</f>
        <v>0</v>
      </c>
      <c r="N4" s="3">
        <f>'Historical Financials'!W8</f>
        <v>0</v>
      </c>
      <c r="O4" s="3">
        <f>'Historical Financials'!X8</f>
        <v>0</v>
      </c>
      <c r="P4" s="3">
        <f>'Historical Financials'!Y8</f>
        <v>0</v>
      </c>
      <c r="Q4" s="3">
        <f>'Historical Financials'!Z8</f>
        <v>0</v>
      </c>
      <c r="R4" s="3">
        <f>'Historical Financials'!AA8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 xml:space="preserve">MedSurg </v>
      </c>
      <c r="C6" s="94">
        <f>'Revenue Drivers'!E9</f>
        <v>4911</v>
      </c>
      <c r="D6" s="94">
        <f>'Revenue Drivers'!F9</f>
        <v>5422</v>
      </c>
      <c r="E6" s="94">
        <f>'Revenue Drivers'!G9</f>
        <v>5993</v>
      </c>
      <c r="F6" s="94" t="e">
        <f>'Revenue Drivers'!#REF!</f>
        <v>#REF!</v>
      </c>
      <c r="G6" s="10"/>
      <c r="H6" s="94">
        <f>'Revenue Drivers'!Q9</f>
        <v>1280</v>
      </c>
      <c r="I6" s="94">
        <f>'Revenue Drivers'!R9</f>
        <v>1359</v>
      </c>
      <c r="J6" s="94">
        <f>'Revenue Drivers'!S9</f>
        <v>1341</v>
      </c>
      <c r="K6" s="94">
        <f>'Revenue Drivers'!T9</f>
        <v>1442</v>
      </c>
      <c r="L6" s="94">
        <f>'Revenue Drivers'!U9</f>
        <v>1411</v>
      </c>
      <c r="M6" s="94">
        <f>'Revenue Drivers'!V9</f>
        <v>1482</v>
      </c>
      <c r="N6" s="94">
        <f>'Revenue Drivers'!W9</f>
        <v>1478</v>
      </c>
      <c r="O6" s="94">
        <f>'Revenue Drivers'!X9</f>
        <v>1622</v>
      </c>
      <c r="P6" s="94">
        <f>'Revenue Drivers'!Y9</f>
        <v>1577</v>
      </c>
      <c r="Q6" s="94">
        <f>'Revenue Drivers'!Z9</f>
        <v>1716</v>
      </c>
      <c r="R6" s="94">
        <f>'Revenue Drivers'!AA9</f>
        <v>1722</v>
      </c>
      <c r="S6" s="5"/>
      <c r="T6" s="142">
        <f t="shared" ref="T6:Z9" si="1">SUM(H6:K6)</f>
        <v>5422</v>
      </c>
      <c r="U6" s="142">
        <f t="shared" si="1"/>
        <v>5553</v>
      </c>
      <c r="V6" s="142">
        <f t="shared" si="1"/>
        <v>5676</v>
      </c>
      <c r="W6" s="142">
        <f t="shared" si="1"/>
        <v>5813</v>
      </c>
      <c r="X6" s="142">
        <f t="shared" si="1"/>
        <v>5993</v>
      </c>
      <c r="Y6" s="142">
        <f t="shared" si="1"/>
        <v>6159</v>
      </c>
      <c r="Z6" s="142">
        <f t="shared" si="1"/>
        <v>6393</v>
      </c>
      <c r="AA6" s="142">
        <f>SUM(O6:R6)</f>
        <v>6637</v>
      </c>
      <c r="AC6" s="126">
        <f t="shared" ref="AC6:AC10" si="2">SUM(AA6/W6)-1</f>
        <v>0.14175124720454146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Drivers'!B11</f>
        <v>Peripheral Interventions</v>
      </c>
      <c r="C9" s="94">
        <f>'Revenue Drivers'!E11</f>
        <v>1899</v>
      </c>
      <c r="D9" s="94">
        <f>'Revenue Drivers'!F11</f>
        <v>2109</v>
      </c>
      <c r="E9" s="94">
        <f>'Revenue Drivers'!G11</f>
        <v>2410</v>
      </c>
      <c r="F9" s="94" t="e">
        <f>'Revenue Drivers'!#REF!</f>
        <v>#REF!</v>
      </c>
      <c r="G9" s="10"/>
      <c r="H9" s="94">
        <f>'Revenue Drivers'!Q11</f>
        <v>433</v>
      </c>
      <c r="I9" s="94">
        <f>'Revenue Drivers'!R11</f>
        <v>473</v>
      </c>
      <c r="J9" s="94">
        <f>'Revenue Drivers'!S11</f>
        <v>452</v>
      </c>
      <c r="K9" s="94">
        <f>'Revenue Drivers'!T11</f>
        <v>462</v>
      </c>
      <c r="L9" s="94">
        <f>'Revenue Drivers'!U11</f>
        <v>465</v>
      </c>
      <c r="M9" s="94">
        <f>'Revenue Drivers'!V11</f>
        <v>478</v>
      </c>
      <c r="N9" s="94">
        <f>'Revenue Drivers'!W11</f>
        <v>479</v>
      </c>
      <c r="O9" s="94">
        <f>'Revenue Drivers'!X11</f>
        <v>477</v>
      </c>
      <c r="P9" s="94">
        <f>'Revenue Drivers'!Y11</f>
        <v>502</v>
      </c>
      <c r="Q9" s="94">
        <f>'Revenue Drivers'!Z11</f>
        <v>535</v>
      </c>
      <c r="R9" s="94">
        <f>'Revenue Drivers'!AA11</f>
        <v>538</v>
      </c>
      <c r="S9" s="5"/>
      <c r="T9" s="142">
        <f t="shared" si="1"/>
        <v>1820</v>
      </c>
      <c r="U9" s="142">
        <f t="shared" si="1"/>
        <v>1852</v>
      </c>
      <c r="V9" s="142">
        <f t="shared" si="1"/>
        <v>1857</v>
      </c>
      <c r="W9" s="142">
        <f t="shared" si="1"/>
        <v>1884</v>
      </c>
      <c r="X9" s="142">
        <f t="shared" si="1"/>
        <v>1899</v>
      </c>
      <c r="Y9" s="142">
        <f t="shared" si="1"/>
        <v>1936</v>
      </c>
      <c r="Z9" s="142">
        <f t="shared" si="1"/>
        <v>1993</v>
      </c>
      <c r="AA9" s="142">
        <f>SUM(O9:R9)</f>
        <v>2052</v>
      </c>
      <c r="AC9" s="126">
        <f t="shared" si="2"/>
        <v>8.9171974522292974E-2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115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116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119</v>
      </c>
      <c r="C19" s="141" t="e">
        <f>'Historical Financials'!#REF!</f>
        <v>#REF!</v>
      </c>
      <c r="D19" s="141">
        <f>'Historical Financials'!E17</f>
        <v>-4520</v>
      </c>
      <c r="E19" s="141">
        <f>'Historical Financials'!F17</f>
        <v>-5190</v>
      </c>
      <c r="F19" s="141">
        <f>'Historical Financials'!G17</f>
        <v>-5984</v>
      </c>
      <c r="G19" s="94"/>
      <c r="H19" s="141">
        <f>'Historical Financials'!Q17</f>
        <v>-1215</v>
      </c>
      <c r="I19" s="141">
        <f>'Historical Financials'!R17</f>
        <v>-1354</v>
      </c>
      <c r="J19" s="141">
        <f>'Historical Financials'!S17</f>
        <v>-1242</v>
      </c>
      <c r="K19" s="141">
        <f>'Historical Financials'!T17</f>
        <v>-1379</v>
      </c>
      <c r="L19" s="141">
        <f>'Historical Financials'!U17</f>
        <v>-1364</v>
      </c>
      <c r="M19" s="141">
        <f>'Historical Financials'!V17</f>
        <v>-1446</v>
      </c>
      <c r="N19" s="141">
        <f>'Historical Financials'!W17</f>
        <v>-1562</v>
      </c>
      <c r="O19" s="141">
        <f>'Historical Financials'!X17</f>
        <v>-1612</v>
      </c>
      <c r="P19" s="141">
        <f>'Historical Financials'!Y17</f>
        <v>-1597</v>
      </c>
      <c r="Q19" s="141">
        <f>'Historical Financials'!Z17</f>
        <v>-1716</v>
      </c>
      <c r="R19" s="141">
        <f>'Historical Financials'!AA17</f>
        <v>-1741</v>
      </c>
      <c r="S19" s="5"/>
      <c r="T19" s="142">
        <f t="shared" ref="T19:Z23" si="32">SUM(H19:K19)</f>
        <v>-5190</v>
      </c>
      <c r="U19" s="142">
        <f t="shared" si="32"/>
        <v>-5339</v>
      </c>
      <c r="V19" s="142">
        <f t="shared" si="32"/>
        <v>-5431</v>
      </c>
      <c r="W19" s="142">
        <f t="shared" si="32"/>
        <v>-5751</v>
      </c>
      <c r="X19" s="142">
        <f t="shared" si="32"/>
        <v>-5984</v>
      </c>
      <c r="Y19" s="142">
        <f t="shared" si="32"/>
        <v>-6217</v>
      </c>
      <c r="Z19" s="142">
        <f t="shared" si="32"/>
        <v>-6487</v>
      </c>
      <c r="AA19" s="142">
        <f>SUM(O19:R19)</f>
        <v>-6666</v>
      </c>
      <c r="AC19" s="126">
        <f t="shared" ref="AC19:AC23" si="33">SUM(AA19/W19)-1</f>
        <v>0.15910276473656748</v>
      </c>
    </row>
    <row r="20" spans="2:29" ht="12.75" customHeight="1">
      <c r="B20" s="23" t="s">
        <v>120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116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117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118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 t="e">
        <f>'Historical Financials'!#REF!</f>
        <v>#REF!</v>
      </c>
      <c r="D27" s="141">
        <f>'Historical Financials'!E100</f>
        <v>0</v>
      </c>
      <c r="E27" s="141">
        <f>'Historical Financials'!F100</f>
        <v>0</v>
      </c>
      <c r="F27" s="141">
        <f>'Historical Financials'!G100</f>
        <v>0</v>
      </c>
      <c r="H27" s="141">
        <f>'Historical Financials'!Q100</f>
        <v>0</v>
      </c>
      <c r="I27" s="141">
        <f>'Historical Financials'!R100</f>
        <v>0</v>
      </c>
      <c r="J27" s="141">
        <f>'Historical Financials'!S100</f>
        <v>0</v>
      </c>
      <c r="K27" s="141">
        <f>'Historical Financials'!T100</f>
        <v>0</v>
      </c>
      <c r="L27" s="141">
        <f>'Historical Financials'!U100</f>
        <v>0</v>
      </c>
      <c r="M27" s="141">
        <f>'Historical Financials'!V100</f>
        <v>0</v>
      </c>
      <c r="N27" s="141">
        <f>'Historical Financials'!W100</f>
        <v>0</v>
      </c>
      <c r="O27" s="141">
        <f>'Historical Financials'!X100</f>
        <v>0</v>
      </c>
      <c r="P27" s="141">
        <f>'Historical Financials'!Y100</f>
        <v>0</v>
      </c>
      <c r="Q27" s="141">
        <f>'Historical Financials'!Z100</f>
        <v>0</v>
      </c>
      <c r="R27" s="141">
        <f>'Historical Financials'!AA100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121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122</v>
      </c>
      <c r="C32" s="141" t="e">
        <f>'Historical Financials'!#REF!</f>
        <v>#REF!</v>
      </c>
      <c r="D32" s="141">
        <f>'Historical Financials'!E102</f>
        <v>0</v>
      </c>
      <c r="E32" s="141">
        <f>'Historical Financials'!F102</f>
        <v>0</v>
      </c>
      <c r="F32" s="141">
        <f>'Historical Financials'!G102</f>
        <v>0</v>
      </c>
      <c r="H32" s="141">
        <f>'Historical Financials'!Q102</f>
        <v>0</v>
      </c>
      <c r="I32" s="141">
        <f>'Historical Financials'!R102</f>
        <v>0</v>
      </c>
      <c r="J32" s="141">
        <f>'Historical Financials'!S102</f>
        <v>0</v>
      </c>
      <c r="K32" s="141">
        <f>'Historical Financials'!T102</f>
        <v>0</v>
      </c>
      <c r="L32" s="141">
        <f>'Historical Financials'!U102</f>
        <v>0</v>
      </c>
      <c r="M32" s="141">
        <f>'Historical Financials'!V102</f>
        <v>0</v>
      </c>
      <c r="N32" s="141">
        <f>'Historical Financials'!W102</f>
        <v>0</v>
      </c>
      <c r="O32" s="141">
        <f>'Historical Financials'!X102</f>
        <v>0</v>
      </c>
      <c r="P32" s="141">
        <f>'Historical Financials'!Y102</f>
        <v>0</v>
      </c>
      <c r="Q32" s="141">
        <f>'Historical Financials'!Z102</f>
        <v>0</v>
      </c>
      <c r="R32" s="141">
        <f>'Historical Financials'!AA102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123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124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 t="e">
        <f>'Historical Financials'!#REF!</f>
        <v>#REF!</v>
      </c>
      <c r="D38" s="141">
        <f>'Historical Financials'!E109</f>
        <v>0</v>
      </c>
      <c r="E38" s="141">
        <f>'Historical Financials'!F109</f>
        <v>0</v>
      </c>
      <c r="F38" s="141">
        <f>'Historical Financials'!G109</f>
        <v>0</v>
      </c>
      <c r="H38" s="141">
        <f>'Historical Financials'!Q109</f>
        <v>0</v>
      </c>
      <c r="I38" s="141">
        <f>'Historical Financials'!R109</f>
        <v>0</v>
      </c>
      <c r="J38" s="141">
        <f>'Historical Financials'!S109</f>
        <v>0</v>
      </c>
      <c r="K38" s="141">
        <f>'Historical Financials'!T109</f>
        <v>0</v>
      </c>
      <c r="L38" s="141">
        <f>'Historical Financials'!U109</f>
        <v>0</v>
      </c>
      <c r="M38" s="141">
        <f>'Historical Financials'!V109</f>
        <v>0</v>
      </c>
      <c r="N38" s="141">
        <f>'Historical Financials'!W109</f>
        <v>0</v>
      </c>
      <c r="O38" s="141">
        <f>'Historical Financials'!X109</f>
        <v>0</v>
      </c>
      <c r="P38" s="141">
        <f>'Historical Financials'!Y109</f>
        <v>0</v>
      </c>
      <c r="Q38" s="141">
        <f>'Historical Financials'!Z109</f>
        <v>0</v>
      </c>
      <c r="R38" s="141">
        <f>'Historical Financials'!AA109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 t="e">
        <f>-'Historical Financials'!#REF!</f>
        <v>#REF!</v>
      </c>
      <c r="D39" s="141">
        <f>-'Historical Financials'!E134</f>
        <v>0</v>
      </c>
      <c r="E39" s="141">
        <f>-'Historical Financials'!F134</f>
        <v>0</v>
      </c>
      <c r="F39" s="141">
        <f>-'Historical Financials'!G134</f>
        <v>0</v>
      </c>
      <c r="H39" s="141">
        <f>-'Historical Financials'!Q134</f>
        <v>0</v>
      </c>
      <c r="I39" s="141">
        <f>-'Historical Financials'!R134</f>
        <v>0</v>
      </c>
      <c r="J39" s="141">
        <f>-'Historical Financials'!S134</f>
        <v>0</v>
      </c>
      <c r="K39" s="141">
        <f>-'Historical Financials'!T134</f>
        <v>0</v>
      </c>
      <c r="L39" s="141">
        <f>-'Historical Financials'!U134</f>
        <v>0</v>
      </c>
      <c r="M39" s="141">
        <f>-'Historical Financials'!V134</f>
        <v>0</v>
      </c>
      <c r="N39" s="141">
        <f>-'Historical Financials'!W134</f>
        <v>0</v>
      </c>
      <c r="O39" s="141">
        <f>-'Historical Financials'!X134</f>
        <v>0</v>
      </c>
      <c r="P39" s="141">
        <f>-'Historical Financials'!Y134</f>
        <v>0</v>
      </c>
      <c r="Q39" s="141">
        <f>-'Historical Financials'!Z134</f>
        <v>0</v>
      </c>
      <c r="R39" s="141">
        <f>-'Historical Financials'!AA134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 t="e">
        <f>-'Historical Financials'!#REF!</f>
        <v>#REF!</v>
      </c>
      <c r="D40" s="141">
        <f>-'Historical Financials'!E133</f>
        <v>0</v>
      </c>
      <c r="E40" s="141">
        <f>-'Historical Financials'!F133</f>
        <v>0</v>
      </c>
      <c r="F40" s="141">
        <f>-'Historical Financials'!G133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 t="e">
        <f>'Historical Financials'!#REF!</f>
        <v>#REF!</v>
      </c>
      <c r="D44" s="141">
        <f>'Historical Financials'!E110</f>
        <v>0</v>
      </c>
      <c r="E44" s="141">
        <f>'Historical Financials'!F110</f>
        <v>0</v>
      </c>
      <c r="F44" s="141">
        <f>'Historical Financials'!G110</f>
        <v>0</v>
      </c>
      <c r="G44" s="32"/>
      <c r="H44" s="141">
        <f>'Historical Financials'!Q110</f>
        <v>0</v>
      </c>
      <c r="I44" s="141">
        <f>'Historical Financials'!R110</f>
        <v>0</v>
      </c>
      <c r="J44" s="141">
        <f>'Historical Financials'!S110</f>
        <v>0</v>
      </c>
      <c r="K44" s="141">
        <f>'Historical Financials'!T110</f>
        <v>0</v>
      </c>
      <c r="L44" s="141">
        <f>'Historical Financials'!U110</f>
        <v>0</v>
      </c>
      <c r="M44" s="141">
        <f>'Historical Financials'!V110</f>
        <v>0</v>
      </c>
      <c r="N44" s="141">
        <f>'Historical Financials'!W110</f>
        <v>0</v>
      </c>
      <c r="O44" s="141">
        <f>'Historical Financials'!X110</f>
        <v>0</v>
      </c>
      <c r="P44" s="141">
        <f>'Historical Financials'!Y110</f>
        <v>0</v>
      </c>
      <c r="Q44" s="141">
        <f>'Historical Financials'!Z110</f>
        <v>0</v>
      </c>
      <c r="R44" s="141">
        <f>'Historical Financials'!AA110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 t="e">
        <f>'Historical Financials'!#REF!</f>
        <v>#REF!</v>
      </c>
      <c r="D45" s="141">
        <f>'Historical Financials'!E112</f>
        <v>0</v>
      </c>
      <c r="E45" s="141">
        <f>'Historical Financials'!F112</f>
        <v>0</v>
      </c>
      <c r="F45" s="141">
        <f>'Historical Financials'!G112</f>
        <v>0</v>
      </c>
      <c r="G45" s="32"/>
      <c r="H45" s="141">
        <f>'Historical Financials'!Q112</f>
        <v>0</v>
      </c>
      <c r="I45" s="141">
        <f>'Historical Financials'!R112</f>
        <v>0</v>
      </c>
      <c r="J45" s="141">
        <f>'Historical Financials'!S112</f>
        <v>0</v>
      </c>
      <c r="K45" s="141">
        <f>'Historical Financials'!T112</f>
        <v>0</v>
      </c>
      <c r="L45" s="141">
        <f>'Historical Financials'!U112</f>
        <v>0</v>
      </c>
      <c r="M45" s="141">
        <f>'Historical Financials'!V112</f>
        <v>0</v>
      </c>
      <c r="N45" s="141">
        <f>'Historical Financials'!W112</f>
        <v>0</v>
      </c>
      <c r="O45" s="141">
        <f>'Historical Financials'!X112</f>
        <v>0</v>
      </c>
      <c r="P45" s="141">
        <f>'Historical Financials'!Y112</f>
        <v>0</v>
      </c>
      <c r="Q45" s="141">
        <f>'Historical Financials'!Z112</f>
        <v>0</v>
      </c>
      <c r="R45" s="141">
        <f>'Historical Financials'!AA112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125</v>
      </c>
      <c r="C46" s="141" t="e">
        <f>'Historical Financials'!#REF!</f>
        <v>#REF!</v>
      </c>
      <c r="D46" s="141">
        <f>'Historical Financials'!E111</f>
        <v>0</v>
      </c>
      <c r="E46" s="141">
        <f>'Historical Financials'!F111</f>
        <v>0</v>
      </c>
      <c r="F46" s="141">
        <f>'Historical Financials'!G111</f>
        <v>0</v>
      </c>
      <c r="G46" s="32"/>
      <c r="H46" s="141">
        <f>'Historical Financials'!Q111</f>
        <v>0</v>
      </c>
      <c r="I46" s="141">
        <f>'Historical Financials'!R111</f>
        <v>0</v>
      </c>
      <c r="J46" s="141">
        <f>'Historical Financials'!S111</f>
        <v>0</v>
      </c>
      <c r="K46" s="141">
        <f>'Historical Financials'!T111</f>
        <v>0</v>
      </c>
      <c r="L46" s="141">
        <f>'Historical Financials'!U111</f>
        <v>0</v>
      </c>
      <c r="M46" s="141">
        <f>'Historical Financials'!V111</f>
        <v>0</v>
      </c>
      <c r="N46" s="141">
        <f>'Historical Financials'!W111</f>
        <v>0</v>
      </c>
      <c r="O46" s="141">
        <f>'Historical Financials'!X111</f>
        <v>0</v>
      </c>
      <c r="P46" s="141">
        <f>'Historical Financials'!Y111</f>
        <v>0</v>
      </c>
      <c r="Q46" s="141">
        <f>'Historical Financials'!Z111</f>
        <v>0</v>
      </c>
      <c r="R46" s="141">
        <f>'Historical Financials'!AA111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 t="e">
        <f>'Historical Financials'!#REF!</f>
        <v>#REF!</v>
      </c>
      <c r="D47" s="141">
        <f>'Historical Financials'!E116</f>
        <v>0</v>
      </c>
      <c r="E47" s="141">
        <f>'Historical Financials'!F116</f>
        <v>0</v>
      </c>
      <c r="F47" s="141">
        <f>'Historical Financials'!G116</f>
        <v>0</v>
      </c>
      <c r="G47" s="32"/>
      <c r="H47" s="141">
        <f>'Historical Financials'!Q116</f>
        <v>0</v>
      </c>
      <c r="I47" s="141">
        <f>'Historical Financials'!R116</f>
        <v>0</v>
      </c>
      <c r="J47" s="141">
        <f>'Historical Financials'!S116</f>
        <v>0</v>
      </c>
      <c r="K47" s="141">
        <f>'Historical Financials'!T116</f>
        <v>0</v>
      </c>
      <c r="L47" s="141">
        <f>'Historical Financials'!U116</f>
        <v>0</v>
      </c>
      <c r="M47" s="141">
        <f>'Historical Financials'!V116</f>
        <v>0</v>
      </c>
      <c r="N47" s="141">
        <f>'Historical Financials'!W116</f>
        <v>0</v>
      </c>
      <c r="O47" s="141">
        <f>'Historical Financials'!X116</f>
        <v>0</v>
      </c>
      <c r="P47" s="141">
        <f>'Historical Financials'!Y116</f>
        <v>0</v>
      </c>
      <c r="Q47" s="141">
        <f>'Historical Financials'!Z116</f>
        <v>0</v>
      </c>
      <c r="R47" s="141">
        <f>'Historical Financials'!AA116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126</v>
      </c>
      <c r="C48" s="141" t="e">
        <f>'Historical Financials'!#REF!</f>
        <v>#REF!</v>
      </c>
      <c r="D48" s="141">
        <f>'Historical Financials'!E117</f>
        <v>0</v>
      </c>
      <c r="E48" s="141">
        <f>'Historical Financials'!F117</f>
        <v>0</v>
      </c>
      <c r="F48" s="141">
        <f>'Historical Financials'!G117</f>
        <v>0</v>
      </c>
      <c r="G48" s="32"/>
      <c r="H48" s="141">
        <f>'Historical Financials'!Q117</f>
        <v>0</v>
      </c>
      <c r="I48" s="141">
        <f>'Historical Financials'!R117</f>
        <v>0</v>
      </c>
      <c r="J48" s="141">
        <f>'Historical Financials'!S117</f>
        <v>0</v>
      </c>
      <c r="K48" s="141">
        <f>'Historical Financials'!T117</f>
        <v>0</v>
      </c>
      <c r="L48" s="141">
        <f>'Historical Financials'!U117</f>
        <v>0</v>
      </c>
      <c r="M48" s="141">
        <f>'Historical Financials'!V117</f>
        <v>0</v>
      </c>
      <c r="N48" s="141">
        <f>'Historical Financials'!W117</f>
        <v>0</v>
      </c>
      <c r="O48" s="141">
        <f>'Historical Financials'!X117</f>
        <v>0</v>
      </c>
      <c r="P48" s="141">
        <f>'Historical Financials'!Y117</f>
        <v>0</v>
      </c>
      <c r="Q48" s="141">
        <f>'Historical Financials'!Z117</f>
        <v>0</v>
      </c>
      <c r="R48" s="141">
        <f>'Historical Financials'!AA117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 t="e">
        <f>SUM('Historical Financials'!#REF!)</f>
        <v>#REF!</v>
      </c>
      <c r="D49" s="141">
        <f>SUM('Historical Financials'!E118:E118)</f>
        <v>0</v>
      </c>
      <c r="E49" s="141">
        <f>SUM('Historical Financials'!F118:F118)</f>
        <v>0</v>
      </c>
      <c r="F49" s="141">
        <f>SUM('Historical Financials'!G118:G118)</f>
        <v>0</v>
      </c>
      <c r="G49" s="32"/>
      <c r="H49" s="141">
        <f>SUM('Historical Financials'!Q118:Q118)</f>
        <v>0</v>
      </c>
      <c r="I49" s="141">
        <f>SUM('Historical Financials'!R118:R118)</f>
        <v>0</v>
      </c>
      <c r="J49" s="141">
        <f>SUM('Historical Financials'!S118:S118)</f>
        <v>0</v>
      </c>
      <c r="K49" s="141">
        <f>SUM('Historical Financials'!T118:T118)</f>
        <v>0</v>
      </c>
      <c r="L49" s="141">
        <f>SUM('Historical Financials'!U118:U118)</f>
        <v>0</v>
      </c>
      <c r="M49" s="141">
        <f>SUM('Historical Financials'!V118:V118)</f>
        <v>0</v>
      </c>
      <c r="N49" s="141">
        <f>SUM('Historical Financials'!W118:W118)</f>
        <v>0</v>
      </c>
      <c r="O49" s="141">
        <f>SUM('Historical Financials'!X118:X118)</f>
        <v>0</v>
      </c>
      <c r="P49" s="141">
        <f>SUM('Historical Financials'!Y118:Y118)</f>
        <v>0</v>
      </c>
      <c r="Q49" s="141">
        <f>SUM('Historical Financials'!Z118:Z118)</f>
        <v>0</v>
      </c>
      <c r="R49" s="141">
        <f>SUM('Historical Financials'!AA118:AA118)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 t="e">
        <f>'Historical Financials'!#REF!</f>
        <v>#REF!</v>
      </c>
      <c r="D55" s="94">
        <f>'Historical Financials'!E53</f>
        <v>928</v>
      </c>
      <c r="E55" s="94">
        <f>'Historical Financials'!F53</f>
        <v>866</v>
      </c>
      <c r="F55" s="94">
        <f>'Historical Financials'!G53</f>
        <v>414</v>
      </c>
      <c r="G55" s="32"/>
      <c r="H55" s="94">
        <f>'Historical Financials'!Q53</f>
        <v>570</v>
      </c>
      <c r="I55" s="94">
        <f>'Historical Financials'!R53</f>
        <v>426</v>
      </c>
      <c r="J55" s="94">
        <f>'Historical Financials'!S53</f>
        <v>952</v>
      </c>
      <c r="K55" s="94">
        <f>'Historical Financials'!T53</f>
        <v>866</v>
      </c>
      <c r="L55" s="94">
        <f>'Historical Financials'!U53</f>
        <v>2329</v>
      </c>
      <c r="M55" s="94">
        <f>'Historical Financials'!V53</f>
        <v>2913</v>
      </c>
      <c r="N55" s="94">
        <f>'Historical Financials'!W53</f>
        <v>2502</v>
      </c>
      <c r="O55" s="94">
        <f>'Historical Financials'!X53</f>
        <v>414</v>
      </c>
      <c r="P55" s="94">
        <f>'Historical Financials'!Y53</f>
        <v>725</v>
      </c>
      <c r="Q55" s="94">
        <f>'Historical Financials'!Z53</f>
        <v>534</v>
      </c>
      <c r="R55" s="94">
        <f>'Historical Financials'!AA53</f>
        <v>1275</v>
      </c>
      <c r="T55" s="10">
        <f t="shared" ref="T55:Z57" si="102">K55</f>
        <v>866</v>
      </c>
      <c r="U55" s="10">
        <f t="shared" si="102"/>
        <v>2329</v>
      </c>
      <c r="V55" s="10">
        <f t="shared" si="102"/>
        <v>2913</v>
      </c>
      <c r="W55" s="10">
        <f t="shared" si="102"/>
        <v>2502</v>
      </c>
      <c r="X55" s="10">
        <f t="shared" si="102"/>
        <v>414</v>
      </c>
      <c r="Y55" s="10">
        <f t="shared" si="102"/>
        <v>725</v>
      </c>
      <c r="Z55" s="10">
        <f t="shared" si="102"/>
        <v>534</v>
      </c>
      <c r="AA55" s="10">
        <f>R55</f>
        <v>1275</v>
      </c>
    </row>
    <row r="56" spans="1:27" ht="12.75" customHeight="1">
      <c r="B56" s="8" t="s">
        <v>127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134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866</v>
      </c>
      <c r="U58" s="14">
        <f t="shared" si="105"/>
        <v>2329</v>
      </c>
      <c r="V58" s="14">
        <f t="shared" si="105"/>
        <v>2913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131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132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136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 t="e">
        <f>'Historical Financials'!#REF!</f>
        <v>#REF!</v>
      </c>
      <c r="D65" s="94">
        <f>'Historical Financials'!E62</f>
        <v>2446</v>
      </c>
      <c r="E65" s="94">
        <f>'Historical Financials'!F62</f>
        <v>2859</v>
      </c>
      <c r="F65" s="94">
        <f>'Historical Financials'!G62</f>
        <v>3294</v>
      </c>
      <c r="H65" s="94">
        <f>'Historical Financials'!Q62</f>
        <v>2478</v>
      </c>
      <c r="I65" s="94">
        <f>'Historical Financials'!R62</f>
        <v>2534</v>
      </c>
      <c r="J65" s="94">
        <f>'Historical Financials'!S62</f>
        <v>2635</v>
      </c>
      <c r="K65" s="94">
        <f>'Historical Financials'!T62</f>
        <v>2859</v>
      </c>
      <c r="L65" s="94">
        <f>'Historical Financials'!U62</f>
        <v>2897</v>
      </c>
      <c r="M65" s="94">
        <f>'Historical Financials'!V62</f>
        <v>2951</v>
      </c>
      <c r="N65" s="94">
        <f>'Historical Financials'!W62</f>
        <v>3072</v>
      </c>
      <c r="O65" s="94">
        <f>'Historical Financials'!X62</f>
        <v>3294</v>
      </c>
      <c r="P65" s="94">
        <f>'Historical Financials'!Y62</f>
        <v>3389</v>
      </c>
      <c r="Q65" s="94">
        <f>'Historical Financials'!Z62</f>
        <v>3461</v>
      </c>
      <c r="R65" s="94">
        <f>'Historical Financials'!AA62</f>
        <v>3795</v>
      </c>
      <c r="S65" s="10"/>
      <c r="T65" s="10">
        <f t="shared" si="106"/>
        <v>2859</v>
      </c>
      <c r="U65" s="10">
        <f t="shared" si="106"/>
        <v>2897</v>
      </c>
      <c r="V65" s="10">
        <f t="shared" si="106"/>
        <v>2951</v>
      </c>
      <c r="W65" s="10">
        <f t="shared" si="106"/>
        <v>3072</v>
      </c>
      <c r="X65" s="10">
        <f t="shared" si="106"/>
        <v>3294</v>
      </c>
      <c r="Y65" s="10">
        <f t="shared" si="106"/>
        <v>3389</v>
      </c>
      <c r="Z65" s="10">
        <f t="shared" si="106"/>
        <v>3461</v>
      </c>
      <c r="AA65" s="10">
        <f t="shared" si="107"/>
        <v>3795</v>
      </c>
    </row>
    <row r="66" spans="2:27" ht="12.75" customHeight="1">
      <c r="B66" s="8" t="s">
        <v>108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 t="e">
        <f>'Historical Financials'!#REF!</f>
        <v>#REF!</v>
      </c>
      <c r="D67" s="94">
        <f>'Historical Financials'!E70</f>
        <v>20</v>
      </c>
      <c r="E67" s="94">
        <f>'Historical Financials'!F70</f>
        <v>531</v>
      </c>
      <c r="F67" s="94">
        <f>'Historical Financials'!G70</f>
        <v>1779</v>
      </c>
      <c r="G67" s="94"/>
      <c r="H67" s="94">
        <f>'Historical Financials'!Q70</f>
        <v>510</v>
      </c>
      <c r="I67" s="94">
        <f>'Historical Financials'!R70</f>
        <v>559</v>
      </c>
      <c r="J67" s="94">
        <f>'Historical Financials'!S70</f>
        <v>513</v>
      </c>
      <c r="K67" s="94">
        <f>'Historical Financials'!T70</f>
        <v>531</v>
      </c>
      <c r="L67" s="94">
        <f>'Historical Financials'!U70</f>
        <v>1085</v>
      </c>
      <c r="M67" s="94">
        <f>'Historical Financials'!V70</f>
        <v>1580</v>
      </c>
      <c r="N67" s="94">
        <f>'Historical Financials'!W70</f>
        <v>1652</v>
      </c>
      <c r="O67" s="94">
        <f>'Historical Financials'!X70</f>
        <v>1779</v>
      </c>
      <c r="P67" s="94">
        <f>'Historical Financials'!Y70</f>
        <v>777</v>
      </c>
      <c r="Q67" s="94">
        <f>'Historical Financials'!Z70</f>
        <v>480</v>
      </c>
      <c r="R67" s="94">
        <f>'Historical Financials'!AA70</f>
        <v>483</v>
      </c>
      <c r="T67" s="10">
        <f t="shared" si="106"/>
        <v>531</v>
      </c>
      <c r="U67" s="10">
        <f t="shared" si="106"/>
        <v>1085</v>
      </c>
      <c r="V67" s="10">
        <f t="shared" si="106"/>
        <v>1580</v>
      </c>
      <c r="W67" s="10">
        <f t="shared" si="106"/>
        <v>1652</v>
      </c>
      <c r="X67" s="10">
        <f t="shared" si="106"/>
        <v>1779</v>
      </c>
      <c r="Y67" s="10">
        <f t="shared" si="106"/>
        <v>777</v>
      </c>
      <c r="Z67" s="10">
        <f t="shared" si="106"/>
        <v>480</v>
      </c>
      <c r="AA67" s="10">
        <f t="shared" si="107"/>
        <v>483</v>
      </c>
    </row>
    <row r="68" spans="2:27" ht="12.75" customHeight="1">
      <c r="B68" s="8" t="s">
        <v>45</v>
      </c>
      <c r="C68" s="94" t="e">
        <f>'Historical Financials'!#REF!</f>
        <v>#REF!</v>
      </c>
      <c r="D68" s="94">
        <f>'Historical Financials'!E74</f>
        <v>3803</v>
      </c>
      <c r="E68" s="94">
        <f>'Historical Financials'!F74</f>
        <v>4934</v>
      </c>
      <c r="F68" s="94">
        <f>'Historical Financials'!G74</f>
        <v>6399</v>
      </c>
      <c r="G68" s="94"/>
      <c r="H68" s="94">
        <f>'Historical Financials'!Q74</f>
        <v>4083</v>
      </c>
      <c r="I68" s="94">
        <f>'Historical Financials'!R74</f>
        <v>4562</v>
      </c>
      <c r="J68" s="94">
        <f>'Historical Financials'!S74</f>
        <v>4579</v>
      </c>
      <c r="K68" s="94">
        <f>'Historical Financials'!T74</f>
        <v>4934</v>
      </c>
      <c r="L68" s="94">
        <f>'Historical Financials'!U74</f>
        <v>4916</v>
      </c>
      <c r="M68" s="94">
        <f>'Historical Financials'!V74</f>
        <v>5576</v>
      </c>
      <c r="N68" s="94">
        <f>'Historical Financials'!W74</f>
        <v>5911</v>
      </c>
      <c r="O68" s="94">
        <f>'Historical Financials'!X74</f>
        <v>6399</v>
      </c>
      <c r="P68" s="94">
        <f>'Historical Financials'!Y74</f>
        <v>5058</v>
      </c>
      <c r="Q68" s="94">
        <f>'Historical Financials'!Z74</f>
        <v>5191</v>
      </c>
      <c r="R68" s="94">
        <f>'Historical Financials'!AA74</f>
        <v>5328</v>
      </c>
      <c r="T68" s="10">
        <f t="shared" si="106"/>
        <v>4934</v>
      </c>
      <c r="U68" s="10">
        <f t="shared" si="106"/>
        <v>4916</v>
      </c>
      <c r="V68" s="10">
        <f t="shared" si="106"/>
        <v>5576</v>
      </c>
      <c r="W68" s="10">
        <f t="shared" si="106"/>
        <v>5911</v>
      </c>
      <c r="X68" s="10">
        <f t="shared" si="106"/>
        <v>6399</v>
      </c>
      <c r="Y68" s="10">
        <f t="shared" si="106"/>
        <v>5058</v>
      </c>
      <c r="Z68" s="10">
        <f t="shared" si="106"/>
        <v>5191</v>
      </c>
      <c r="AA68" s="10">
        <f t="shared" si="107"/>
        <v>5328</v>
      </c>
    </row>
    <row r="69" spans="2:27" ht="12.75" customHeight="1">
      <c r="B69" s="8" t="s">
        <v>15</v>
      </c>
      <c r="C69" s="94" t="e">
        <f>'Historical Financials'!#REF!</f>
        <v>#REF!</v>
      </c>
      <c r="D69" s="94">
        <f>'Historical Financials'!E80</f>
        <v>14897</v>
      </c>
      <c r="E69" s="94">
        <f>'Historical Financials'!F80</f>
        <v>15606</v>
      </c>
      <c r="F69" s="94">
        <f>'Historical Financials'!G80</f>
        <v>17392</v>
      </c>
      <c r="G69" s="94"/>
      <c r="H69" s="94">
        <f>'Historical Financials'!Q80</f>
        <v>14783</v>
      </c>
      <c r="I69" s="94">
        <f>'Historical Financials'!R80</f>
        <v>15117</v>
      </c>
      <c r="J69" s="94">
        <f>'Historical Financials'!S80</f>
        <v>14914</v>
      </c>
      <c r="K69" s="94">
        <f>'Historical Financials'!T80</f>
        <v>15606</v>
      </c>
      <c r="L69" s="94">
        <f>'Historical Financials'!U80</f>
        <v>16501</v>
      </c>
      <c r="M69" s="94">
        <f>'Historical Financials'!V80</f>
        <v>16499</v>
      </c>
      <c r="N69" s="94">
        <f>'Historical Financials'!W80</f>
        <v>17123</v>
      </c>
      <c r="O69" s="94">
        <f>'Historical Financials'!X80</f>
        <v>17392</v>
      </c>
      <c r="P69" s="94">
        <f>'Historical Financials'!Y80</f>
        <v>17694</v>
      </c>
      <c r="Q69" s="94">
        <f>'Historical Financials'!Z80</f>
        <v>18907</v>
      </c>
      <c r="R69" s="94">
        <f>'Historical Financials'!AA80</f>
        <v>19077</v>
      </c>
      <c r="T69" s="10">
        <f t="shared" si="106"/>
        <v>15606</v>
      </c>
      <c r="U69" s="10">
        <f t="shared" si="106"/>
        <v>16501</v>
      </c>
      <c r="V69" s="10">
        <f t="shared" si="106"/>
        <v>16499</v>
      </c>
      <c r="W69" s="10">
        <f t="shared" si="106"/>
        <v>17123</v>
      </c>
      <c r="X69" s="10">
        <f t="shared" si="106"/>
        <v>17392</v>
      </c>
      <c r="Y69" s="10">
        <f t="shared" si="106"/>
        <v>17694</v>
      </c>
      <c r="Z69" s="10">
        <f t="shared" si="106"/>
        <v>18907</v>
      </c>
      <c r="AA69" s="10">
        <f t="shared" si="107"/>
        <v>19077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135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133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128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129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130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 t="e">
        <f>'Historical Financials'!#REF!</f>
        <v>#REF!</v>
      </c>
      <c r="D87" s="94">
        <f>'Historical Financials'!E86</f>
        <v>17573</v>
      </c>
      <c r="E87" s="94">
        <f>'Historical Financials'!F86</f>
        <v>19530</v>
      </c>
      <c r="F87" s="94">
        <f>'Historical Financials'!G86</f>
        <v>22003</v>
      </c>
      <c r="H87" s="94">
        <f>'Historical Financials'!Q86</f>
        <v>18109</v>
      </c>
      <c r="I87" s="94">
        <f>'Historical Financials'!R86</f>
        <v>18485</v>
      </c>
      <c r="J87" s="94">
        <f>'Historical Financials'!S86</f>
        <v>19129</v>
      </c>
      <c r="K87" s="94">
        <f>'Historical Financials'!T86</f>
        <v>19530</v>
      </c>
      <c r="L87" s="94">
        <f>'Historical Financials'!U86</f>
        <v>20168</v>
      </c>
      <c r="M87" s="94">
        <f>'Historical Financials'!V86</f>
        <v>20609</v>
      </c>
      <c r="N87" s="94">
        <f>'Historical Financials'!W86</f>
        <v>20956</v>
      </c>
      <c r="O87" s="94">
        <f>'Historical Financials'!X86</f>
        <v>22003</v>
      </c>
      <c r="P87" s="94">
        <f>'Historical Financials'!Y86</f>
        <v>22446</v>
      </c>
      <c r="Q87" s="94">
        <f>'Historical Financials'!Z86</f>
        <v>22653</v>
      </c>
      <c r="R87" s="94">
        <f>'Historical Financials'!AA86</f>
        <v>23630</v>
      </c>
      <c r="T87" s="10">
        <f t="shared" ref="T87:AA87" si="130">K87</f>
        <v>19530</v>
      </c>
      <c r="U87" s="10">
        <f t="shared" si="130"/>
        <v>20168</v>
      </c>
      <c r="V87" s="10">
        <f t="shared" si="130"/>
        <v>20609</v>
      </c>
      <c r="W87" s="142">
        <f t="shared" si="130"/>
        <v>20956</v>
      </c>
      <c r="X87" s="142">
        <f t="shared" si="130"/>
        <v>22003</v>
      </c>
      <c r="Y87" s="142">
        <f t="shared" si="130"/>
        <v>22446</v>
      </c>
      <c r="Z87" s="142">
        <f t="shared" si="130"/>
        <v>22653</v>
      </c>
      <c r="AA87" s="142">
        <f t="shared" si="130"/>
        <v>23630</v>
      </c>
    </row>
    <row r="88" spans="1:27" ht="12.75" customHeight="1">
      <c r="B88" s="13" t="s">
        <v>47</v>
      </c>
      <c r="C88" s="14" t="e">
        <f>SUM(C85:C87)</f>
        <v>#REF!</v>
      </c>
      <c r="D88" s="14">
        <f>SUM(D85:D87)</f>
        <v>20074</v>
      </c>
      <c r="E88" s="14">
        <f>SUM(E85:E87)</f>
        <v>22030</v>
      </c>
      <c r="F88" s="14">
        <f>SUM(F85:F87)</f>
        <v>23753</v>
      </c>
      <c r="H88" s="14">
        <f t="shared" ref="H88:M88" si="131">SUM(H85:H87)</f>
        <v>20609</v>
      </c>
      <c r="I88" s="14">
        <f t="shared" si="131"/>
        <v>20985</v>
      </c>
      <c r="J88" s="14">
        <f t="shared" si="131"/>
        <v>21629</v>
      </c>
      <c r="K88" s="14">
        <f t="shared" si="131"/>
        <v>22030</v>
      </c>
      <c r="L88" s="14">
        <f t="shared" si="131"/>
        <v>22668</v>
      </c>
      <c r="M88" s="14">
        <f t="shared" si="131"/>
        <v>22359</v>
      </c>
      <c r="N88" s="14">
        <f>SUM(N85:N87)</f>
        <v>22706</v>
      </c>
      <c r="O88" s="14">
        <f>SUM(O85:O87)</f>
        <v>23753</v>
      </c>
      <c r="P88" s="14">
        <f>SUM(P85:P87)</f>
        <v>26646</v>
      </c>
      <c r="Q88" s="14">
        <f>SUM(Q85:Q87)</f>
        <v>25903</v>
      </c>
      <c r="R88" s="14">
        <f>SUM(R85:R87)</f>
        <v>26880</v>
      </c>
      <c r="T88" s="14">
        <f t="shared" ref="T88:Y88" si="132">SUM(T85:T87)</f>
        <v>22030</v>
      </c>
      <c r="U88" s="14">
        <f t="shared" si="132"/>
        <v>22668</v>
      </c>
      <c r="V88" s="14">
        <f t="shared" si="132"/>
        <v>22359</v>
      </c>
      <c r="W88" s="14">
        <f t="shared" si="132"/>
        <v>22706</v>
      </c>
      <c r="X88" s="14">
        <f t="shared" si="132"/>
        <v>23753</v>
      </c>
      <c r="Y88" s="14">
        <f t="shared" si="132"/>
        <v>26646</v>
      </c>
      <c r="Z88" s="14">
        <f>SUM(Z85:Z87)</f>
        <v>25903</v>
      </c>
      <c r="AA88" s="14">
        <f>SUM(AA85:AA87)</f>
        <v>26880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 t="e">
        <f>C88/C85</f>
        <v>#REF!</v>
      </c>
      <c r="D97" s="83">
        <f>D88/D85</f>
        <v>8.0263894442223105</v>
      </c>
      <c r="E97" s="83">
        <f>E88/E85</f>
        <v>8.8119999999999994</v>
      </c>
      <c r="F97" s="83">
        <f>F88/F85</f>
        <v>13.573142857142857</v>
      </c>
      <c r="H97" s="83">
        <f t="shared" ref="H97:Q97" si="138">H88/H85</f>
        <v>8.2436000000000007</v>
      </c>
      <c r="I97" s="83">
        <f t="shared" si="138"/>
        <v>8.3940000000000001</v>
      </c>
      <c r="J97" s="83">
        <f t="shared" si="138"/>
        <v>8.6516000000000002</v>
      </c>
      <c r="K97" s="83">
        <f t="shared" si="138"/>
        <v>8.8119999999999994</v>
      </c>
      <c r="L97" s="83">
        <f t="shared" si="138"/>
        <v>9.0671999999999997</v>
      </c>
      <c r="M97" s="83">
        <f t="shared" si="138"/>
        <v>12.776571428571428</v>
      </c>
      <c r="N97" s="83">
        <f t="shared" si="138"/>
        <v>12.974857142857143</v>
      </c>
      <c r="O97" s="83">
        <f t="shared" si="138"/>
        <v>13.573142857142857</v>
      </c>
      <c r="P97" s="83">
        <f t="shared" si="138"/>
        <v>6.3442857142857143</v>
      </c>
      <c r="Q97" s="83">
        <f t="shared" si="138"/>
        <v>7.9701538461538464</v>
      </c>
      <c r="R97" s="83">
        <f>R88/R85</f>
        <v>8.2707692307692309</v>
      </c>
      <c r="S97" s="83"/>
      <c r="T97" s="83">
        <f t="shared" ref="T97:Y97" si="139">T88/T85</f>
        <v>8.8119999999999994</v>
      </c>
      <c r="U97" s="83">
        <f t="shared" si="139"/>
        <v>9.0671999999999997</v>
      </c>
      <c r="V97" s="83">
        <f t="shared" si="139"/>
        <v>12.776571428571428</v>
      </c>
      <c r="W97" s="83">
        <f t="shared" si="139"/>
        <v>12.974857142857143</v>
      </c>
      <c r="X97" s="83">
        <f t="shared" si="139"/>
        <v>13.573142857142857</v>
      </c>
      <c r="Y97" s="83">
        <f t="shared" si="139"/>
        <v>6.3442857142857143</v>
      </c>
      <c r="Z97" s="83">
        <f>Z88/Z85</f>
        <v>7.9701538461538464</v>
      </c>
      <c r="AA97" s="83">
        <f>AA88/AA85</f>
        <v>8.2707692307692309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2025-12-28T20:09:34Z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